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Vaishnavi M\Box\2025\New_ValueModel\For release_3.4\"/>
    </mc:Choice>
  </mc:AlternateContent>
  <xr:revisionPtr revIDLastSave="0" documentId="13_ncr:1_{7AECECBE-D336-480A-9988-685765333770}" xr6:coauthVersionLast="47" xr6:coauthVersionMax="47" xr10:uidLastSave="{00000000-0000-0000-0000-000000000000}"/>
  <bookViews>
    <workbookView xWindow="-108" yWindow="-108" windowWidth="23256" windowHeight="12456" tabRatio="888" firstSheet="3" activeTab="16" xr2:uid="{02AF6250-D51A-4AE0-B578-EEBBD48055BA}"/>
  </bookViews>
  <sheets>
    <sheet name="Initial Screens" sheetId="79" r:id="rId1"/>
    <sheet name="Notes" sheetId="94" r:id="rId2"/>
    <sheet name="Excel Output" sheetId="96" r:id="rId3"/>
    <sheet name="Compute" sheetId="83" r:id="rId4"/>
    <sheet name="Storage" sheetId="84" r:id="rId5"/>
    <sheet name="Network" sheetId="81" r:id="rId6"/>
    <sheet name="Software" sheetId="91" r:id="rId7"/>
    <sheet name="Facilities" sheetId="88" r:id="rId8"/>
    <sheet name="Labor" sheetId="89" r:id="rId9"/>
    <sheet name="Support" sheetId="98" r:id="rId10"/>
    <sheet name="Migration - Reskilling" sheetId="92" r:id="rId11"/>
    <sheet name="InvestmentBVA" sheetId="41" state="hidden" r:id="rId12"/>
    <sheet name="Misc" sheetId="100" r:id="rId13"/>
    <sheet name="Business impact" sheetId="95" r:id="rId14"/>
    <sheet name="ROI Results" sheetId="38" r:id="rId15"/>
    <sheet name="Sustainability" sheetId="99" r:id="rId16"/>
    <sheet name="Transition" sheetId="97" r:id="rId17"/>
    <sheet name="Benchmarks" sheetId="39" r:id="rId18"/>
  </sheets>
  <definedNames>
    <definedName name="AnalysisTerm">'Initial Screens'!$C$14</definedName>
    <definedName name="Growth">'ROI Results'!$I$8</definedName>
    <definedName name="Hardware_Refreshcylce">'ROI Results'!$F$53</definedName>
    <definedName name="Hosts">'Initial Screens'!$C$17</definedName>
    <definedName name="Inflation">'ROI Results'!$I$9</definedName>
    <definedName name="VMs">'Initial Screens'!$C$16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9" i="100" l="1"/>
  <c r="E155" i="100"/>
  <c r="E152" i="100"/>
  <c r="E151" i="100"/>
  <c r="E150" i="100"/>
  <c r="E148" i="100"/>
  <c r="E147" i="100"/>
  <c r="E146" i="100"/>
  <c r="E145" i="100"/>
  <c r="C67" i="84"/>
  <c r="F46" i="83"/>
  <c r="O15" i="38"/>
  <c r="N15" i="38"/>
  <c r="M15" i="38"/>
  <c r="L15" i="38"/>
  <c r="I8" i="38"/>
  <c r="F123" i="83"/>
  <c r="I9" i="38" l="1"/>
  <c r="H18" i="100"/>
  <c r="O64" i="100"/>
  <c r="O52" i="100"/>
  <c r="O50" i="100"/>
  <c r="O49" i="100"/>
  <c r="O48" i="100"/>
  <c r="O47" i="100"/>
  <c r="O39" i="100"/>
  <c r="O27" i="100"/>
  <c r="O25" i="100"/>
  <c r="O24" i="100"/>
  <c r="O23" i="100"/>
  <c r="O22" i="100"/>
  <c r="L37" i="99"/>
  <c r="K37" i="99"/>
  <c r="J37" i="99"/>
  <c r="I37" i="99"/>
  <c r="H37" i="99"/>
  <c r="L39" i="99"/>
  <c r="K39" i="99"/>
  <c r="J39" i="99"/>
  <c r="I39" i="99"/>
  <c r="H39" i="99"/>
  <c r="E53" i="38" a="1"/>
  <c r="E53" i="38" s="1"/>
  <c r="F53" i="38" s="1"/>
  <c r="O100" i="38"/>
  <c r="N100" i="38"/>
  <c r="M100" i="38"/>
  <c r="L100" i="38"/>
  <c r="K100" i="38"/>
  <c r="I70" i="38"/>
  <c r="I84" i="38"/>
  <c r="H84" i="38"/>
  <c r="N13" i="38"/>
  <c r="N70" i="38" s="1"/>
  <c r="M13" i="38"/>
  <c r="M44" i="38" s="1"/>
  <c r="L13" i="38"/>
  <c r="L84" i="38" s="1"/>
  <c r="K13" i="38"/>
  <c r="K44" i="38" s="1"/>
  <c r="J13" i="38"/>
  <c r="J20" i="38" s="1"/>
  <c r="B44" i="89"/>
  <c r="A67" i="84"/>
  <c r="A55" i="84"/>
  <c r="J99" i="38"/>
  <c r="I99" i="38"/>
  <c r="I83" i="38"/>
  <c r="H83" i="38"/>
  <c r="N81" i="38"/>
  <c r="M81" i="38"/>
  <c r="L81" i="38"/>
  <c r="N80" i="38"/>
  <c r="M80" i="38"/>
  <c r="L80" i="38"/>
  <c r="O81" i="38"/>
  <c r="O80" i="38"/>
  <c r="N66" i="38"/>
  <c r="M66" i="38"/>
  <c r="L66" i="38"/>
  <c r="N63" i="38"/>
  <c r="M63" i="38"/>
  <c r="L63" i="38"/>
  <c r="N61" i="38"/>
  <c r="M61" i="38"/>
  <c r="L61" i="38"/>
  <c r="N60" i="38"/>
  <c r="M60" i="38"/>
  <c r="L60" i="38"/>
  <c r="N59" i="38"/>
  <c r="M59" i="38"/>
  <c r="L59" i="38"/>
  <c r="N58" i="38"/>
  <c r="L43" i="99" s="1"/>
  <c r="M58" i="38"/>
  <c r="K43" i="99" s="1"/>
  <c r="L58" i="38"/>
  <c r="J43" i="99" s="1"/>
  <c r="N57" i="38"/>
  <c r="M57" i="38"/>
  <c r="L57" i="38"/>
  <c r="N56" i="38"/>
  <c r="L41" i="99" s="1"/>
  <c r="M56" i="38"/>
  <c r="K41" i="99" s="1"/>
  <c r="L56" i="38"/>
  <c r="J40" i="99" s="1"/>
  <c r="O37" i="38"/>
  <c r="N35" i="38"/>
  <c r="M35" i="38"/>
  <c r="L35" i="38"/>
  <c r="L43" i="38" s="1"/>
  <c r="L54" i="38" s="1"/>
  <c r="J35" i="38"/>
  <c r="K35" i="38"/>
  <c r="O41" i="38"/>
  <c r="O40" i="38"/>
  <c r="O39" i="38"/>
  <c r="O38" i="38"/>
  <c r="N42" i="38"/>
  <c r="N46" i="38" s="1"/>
  <c r="M42" i="38"/>
  <c r="M46" i="38" s="1"/>
  <c r="L42" i="38"/>
  <c r="L46" i="38" s="1"/>
  <c r="K42" i="38"/>
  <c r="K46" i="38" s="1"/>
  <c r="J42" i="38"/>
  <c r="J46" i="38" s="1"/>
  <c r="K81" i="38"/>
  <c r="J81" i="38"/>
  <c r="I81" i="38"/>
  <c r="H81" i="38"/>
  <c r="K80" i="38"/>
  <c r="J80" i="38"/>
  <c r="I80" i="38"/>
  <c r="H80" i="38"/>
  <c r="I54" i="38"/>
  <c r="H54" i="38"/>
  <c r="K66" i="38"/>
  <c r="J66" i="38"/>
  <c r="I66" i="38"/>
  <c r="H66" i="38"/>
  <c r="O64" i="38"/>
  <c r="O62" i="38"/>
  <c r="E56" i="38"/>
  <c r="F56" i="38"/>
  <c r="G56" i="38"/>
  <c r="K63" i="38"/>
  <c r="J63" i="38"/>
  <c r="I63" i="38"/>
  <c r="H63" i="38"/>
  <c r="K61" i="38"/>
  <c r="J61" i="38"/>
  <c r="I61" i="38"/>
  <c r="H61" i="38"/>
  <c r="K60" i="38"/>
  <c r="J60" i="38"/>
  <c r="I60" i="38"/>
  <c r="H60" i="38"/>
  <c r="K59" i="38"/>
  <c r="J59" i="38"/>
  <c r="I59" i="38"/>
  <c r="H59" i="38"/>
  <c r="K58" i="38"/>
  <c r="I43" i="99" s="1"/>
  <c r="J58" i="38"/>
  <c r="H43" i="99" s="1"/>
  <c r="I58" i="38"/>
  <c r="H58" i="38"/>
  <c r="K57" i="38"/>
  <c r="J57" i="38"/>
  <c r="I57" i="38"/>
  <c r="H57" i="38"/>
  <c r="K56" i="38"/>
  <c r="I41" i="99" s="1"/>
  <c r="J56" i="38"/>
  <c r="I56" i="38"/>
  <c r="H56" i="38"/>
  <c r="J100" i="38"/>
  <c r="I100" i="38"/>
  <c r="K43" i="38"/>
  <c r="K54" i="38" s="1"/>
  <c r="J43" i="38"/>
  <c r="J54" i="38" s="1"/>
  <c r="J83" i="38" s="1"/>
  <c r="K19" i="38"/>
  <c r="J19" i="38"/>
  <c r="K15" i="38"/>
  <c r="J15" i="38"/>
  <c r="H70" i="38"/>
  <c r="I55" i="38"/>
  <c r="H55" i="38"/>
  <c r="N20" i="38" l="1"/>
  <c r="J41" i="99"/>
  <c r="K20" i="38"/>
  <c r="H31" i="100"/>
  <c r="H56" i="100"/>
  <c r="I18" i="100"/>
  <c r="H43" i="100"/>
  <c r="N36" i="38"/>
  <c r="J42" i="99"/>
  <c r="N44" i="38"/>
  <c r="H40" i="99"/>
  <c r="K40" i="99"/>
  <c r="N84" i="38"/>
  <c r="H41" i="99"/>
  <c r="H42" i="99"/>
  <c r="K42" i="99"/>
  <c r="I40" i="99"/>
  <c r="L40" i="99"/>
  <c r="I42" i="99"/>
  <c r="L42" i="99"/>
  <c r="M55" i="38"/>
  <c r="M84" i="38"/>
  <c r="K55" i="38"/>
  <c r="K84" i="38"/>
  <c r="N94" i="38" s="1"/>
  <c r="N30" i="38" s="1"/>
  <c r="M107" i="38"/>
  <c r="M43" i="38"/>
  <c r="M54" i="38" s="1"/>
  <c r="M99" i="38" s="1"/>
  <c r="N107" i="38"/>
  <c r="N43" i="38"/>
  <c r="N54" i="38" s="1"/>
  <c r="N83" i="38" s="1"/>
  <c r="L83" i="38"/>
  <c r="L99" i="38"/>
  <c r="L69" i="38"/>
  <c r="K83" i="38"/>
  <c r="K69" i="38"/>
  <c r="K99" i="38"/>
  <c r="J69" i="38"/>
  <c r="J107" i="38"/>
  <c r="K107" i="38"/>
  <c r="L107" i="38"/>
  <c r="N55" i="38"/>
  <c r="M70" i="38"/>
  <c r="M20" i="38"/>
  <c r="M36" i="38"/>
  <c r="L55" i="38"/>
  <c r="L70" i="38"/>
  <c r="L36" i="38"/>
  <c r="L20" i="38"/>
  <c r="L44" i="38"/>
  <c r="K36" i="38"/>
  <c r="K70" i="38"/>
  <c r="O56" i="38"/>
  <c r="J84" i="38"/>
  <c r="J44" i="38"/>
  <c r="J70" i="38"/>
  <c r="J36" i="38"/>
  <c r="J55" i="38"/>
  <c r="I43" i="100" l="1"/>
  <c r="J18" i="100"/>
  <c r="I56" i="100"/>
  <c r="I31" i="100"/>
  <c r="L94" i="38"/>
  <c r="L30" i="38" s="1"/>
  <c r="M94" i="38"/>
  <c r="M30" i="38" s="1"/>
  <c r="M83" i="38"/>
  <c r="M69" i="38"/>
  <c r="N69" i="38"/>
  <c r="N99" i="38"/>
  <c r="A34" i="95"/>
  <c r="A33" i="95"/>
  <c r="A32" i="95"/>
  <c r="A31" i="95"/>
  <c r="A30" i="95"/>
  <c r="A29" i="95"/>
  <c r="A28" i="95"/>
  <c r="A27" i="95"/>
  <c r="A26" i="95"/>
  <c r="A25" i="95"/>
  <c r="A24" i="95"/>
  <c r="A23" i="95"/>
  <c r="A21" i="95"/>
  <c r="A19" i="95"/>
  <c r="A18" i="95"/>
  <c r="A17" i="95"/>
  <c r="A16" i="95"/>
  <c r="A15" i="95"/>
  <c r="A14" i="95"/>
  <c r="A12" i="95"/>
  <c r="A10" i="95"/>
  <c r="K1" i="89"/>
  <c r="C154" i="100"/>
  <c r="D155" i="100"/>
  <c r="D152" i="100"/>
  <c r="D150" i="100"/>
  <c r="J43" i="100" l="1"/>
  <c r="K18" i="100"/>
  <c r="J56" i="100"/>
  <c r="J31" i="100"/>
  <c r="O111" i="89"/>
  <c r="N107" i="89"/>
  <c r="B112" i="89"/>
  <c r="D118" i="83"/>
  <c r="C155" i="100"/>
  <c r="B155" i="100"/>
  <c r="B154" i="100"/>
  <c r="B153" i="100"/>
  <c r="B152" i="100"/>
  <c r="B151" i="100"/>
  <c r="B150" i="100"/>
  <c r="B148" i="100"/>
  <c r="B147" i="100"/>
  <c r="B146" i="100"/>
  <c r="B145" i="100"/>
  <c r="K35" i="89"/>
  <c r="K36" i="89" s="1"/>
  <c r="K38" i="89" s="1"/>
  <c r="F126" i="100"/>
  <c r="F121" i="100"/>
  <c r="C121" i="100"/>
  <c r="F124" i="100"/>
  <c r="B136" i="100"/>
  <c r="C136" i="100"/>
  <c r="D136" i="100"/>
  <c r="B137" i="100"/>
  <c r="C137" i="100"/>
  <c r="B138" i="100"/>
  <c r="C138" i="100"/>
  <c r="B139" i="100"/>
  <c r="C139" i="100"/>
  <c r="C135" i="100"/>
  <c r="D135" i="100"/>
  <c r="B135" i="100"/>
  <c r="F41" i="83"/>
  <c r="G40" i="83" s="1"/>
  <c r="A88" i="89"/>
  <c r="C88" i="89" s="1"/>
  <c r="A90" i="89" s="1"/>
  <c r="A98" i="89" s="1"/>
  <c r="Q95" i="89"/>
  <c r="Q93" i="89"/>
  <c r="R91" i="89"/>
  <c r="R95" i="89" s="1"/>
  <c r="P117" i="100"/>
  <c r="F41" i="95"/>
  <c r="F42" i="95" s="1"/>
  <c r="F136" i="83" l="1"/>
  <c r="F129" i="83"/>
  <c r="A120" i="83"/>
  <c r="K43" i="100"/>
  <c r="L18" i="100"/>
  <c r="K56" i="100"/>
  <c r="K31" i="100"/>
  <c r="O109" i="89"/>
  <c r="O113" i="89" s="1"/>
  <c r="O110" i="89"/>
  <c r="E136" i="100"/>
  <c r="A91" i="89"/>
  <c r="A92" i="89"/>
  <c r="R93" i="89"/>
  <c r="S93" i="89" s="1"/>
  <c r="A93" i="89"/>
  <c r="F93" i="89" s="1"/>
  <c r="A99" i="89"/>
  <c r="A94" i="89"/>
  <c r="A95" i="89"/>
  <c r="A96" i="89"/>
  <c r="A97" i="89"/>
  <c r="S95" i="89"/>
  <c r="M18" i="100" l="1"/>
  <c r="L56" i="100"/>
  <c r="L31" i="100"/>
  <c r="L43" i="100"/>
  <c r="G121" i="100"/>
  <c r="F98" i="89"/>
  <c r="F97" i="89"/>
  <c r="A103" i="89"/>
  <c r="F105" i="89" s="1"/>
  <c r="B4" i="92"/>
  <c r="A77" i="89"/>
  <c r="A44" i="89"/>
  <c r="F46" i="89" s="1"/>
  <c r="C149" i="100" s="1"/>
  <c r="A35" i="89"/>
  <c r="A41" i="89" s="1"/>
  <c r="A26" i="89"/>
  <c r="A33" i="89" s="1"/>
  <c r="M56" i="100" l="1"/>
  <c r="M31" i="100"/>
  <c r="M43" i="100"/>
  <c r="N18" i="100"/>
  <c r="A51" i="89"/>
  <c r="A104" i="89"/>
  <c r="A107" i="89"/>
  <c r="A85" i="89"/>
  <c r="A108" i="89"/>
  <c r="A105" i="89"/>
  <c r="A106" i="89"/>
  <c r="A111" i="89"/>
  <c r="A113" i="89"/>
  <c r="A112" i="89"/>
  <c r="A109" i="89"/>
  <c r="A110" i="89"/>
  <c r="A81" i="89"/>
  <c r="A36" i="89"/>
  <c r="A30" i="89"/>
  <c r="A38" i="89"/>
  <c r="A39" i="89"/>
  <c r="A29" i="89"/>
  <c r="A42" i="89"/>
  <c r="A56" i="89"/>
  <c r="A80" i="89"/>
  <c r="A52" i="89"/>
  <c r="A37" i="89"/>
  <c r="A53" i="89"/>
  <c r="A27" i="89"/>
  <c r="A40" i="89"/>
  <c r="A78" i="89"/>
  <c r="A28" i="89"/>
  <c r="A79" i="89"/>
  <c r="A31" i="89"/>
  <c r="A45" i="89"/>
  <c r="A82" i="89"/>
  <c r="A32" i="89"/>
  <c r="A46" i="89"/>
  <c r="A47" i="89" s="1"/>
  <c r="A83" i="89"/>
  <c r="A50" i="89"/>
  <c r="A84" i="89"/>
  <c r="F84" i="89"/>
  <c r="F80" i="89"/>
  <c r="C152" i="100" s="1"/>
  <c r="B46" i="89"/>
  <c r="B149" i="100" s="1"/>
  <c r="N56" i="100" l="1"/>
  <c r="N31" i="100"/>
  <c r="N43" i="100"/>
  <c r="F47" i="89"/>
  <c r="A55" i="89"/>
  <c r="F55" i="89" s="1"/>
  <c r="A54" i="89"/>
  <c r="F54" i="89" s="1"/>
  <c r="A49" i="89"/>
  <c r="F49" i="89" s="1"/>
  <c r="A48" i="89"/>
  <c r="F48" i="89" s="1"/>
  <c r="H133" i="83"/>
  <c r="D68" i="83" l="1"/>
  <c r="F125" i="83"/>
  <c r="B136" i="83"/>
  <c r="B129" i="83"/>
  <c r="F133" i="83"/>
  <c r="A28" i="83"/>
  <c r="D28" i="83" l="1"/>
  <c r="A29" i="83" s="1"/>
  <c r="A30" i="83" s="1"/>
  <c r="A118" i="83"/>
  <c r="A136" i="83" l="1"/>
  <c r="A124" i="83"/>
  <c r="A123" i="83"/>
  <c r="A135" i="83"/>
  <c r="A134" i="83"/>
  <c r="A122" i="83"/>
  <c r="A133" i="83"/>
  <c r="A121" i="83"/>
  <c r="A132" i="83"/>
  <c r="A131" i="83"/>
  <c r="A130" i="83"/>
  <c r="A129" i="83"/>
  <c r="A128" i="83"/>
  <c r="A127" i="83"/>
  <c r="A126" i="83"/>
  <c r="A125" i="83"/>
  <c r="D29" i="83"/>
  <c r="D30" i="83"/>
  <c r="D27" i="96"/>
  <c r="F14" i="89" l="1"/>
  <c r="D145" i="100" s="1"/>
  <c r="A22" i="79"/>
  <c r="A23" i="79" l="1"/>
  <c r="A27" i="79"/>
  <c r="A28" i="96"/>
  <c r="A29" i="96"/>
  <c r="B31" i="100" l="1"/>
  <c r="B18" i="100"/>
  <c r="F94" i="83"/>
  <c r="F9" i="91"/>
  <c r="I4" i="91"/>
  <c r="F7" i="91"/>
  <c r="A49" i="88"/>
  <c r="A54" i="88"/>
  <c r="A55" i="88"/>
  <c r="D24" i="97"/>
  <c r="H86" i="95"/>
  <c r="H49" i="95"/>
  <c r="B114" i="83" l="1"/>
  <c r="B113" i="83"/>
  <c r="B112" i="83"/>
  <c r="B102" i="83"/>
  <c r="B101" i="83"/>
  <c r="B100" i="83"/>
  <c r="B103" i="83"/>
  <c r="A112" i="83"/>
  <c r="A113" i="83"/>
  <c r="A114" i="83"/>
  <c r="A100" i="83"/>
  <c r="A101" i="83"/>
  <c r="A102" i="83"/>
  <c r="H33" i="83"/>
  <c r="F15" i="38"/>
  <c r="G15" i="38"/>
  <c r="H15" i="38"/>
  <c r="I15" i="38"/>
  <c r="E15" i="38"/>
  <c r="C128" i="100" l="1"/>
  <c r="C119" i="100"/>
  <c r="D122" i="100" s="1"/>
  <c r="E122" i="100"/>
  <c r="F123" i="100"/>
  <c r="B108" i="100"/>
  <c r="B107" i="100"/>
  <c r="C87" i="100"/>
  <c r="C40" i="84" l="1"/>
  <c r="C41" i="84" s="1"/>
  <c r="I69" i="38" l="1"/>
  <c r="H69" i="38"/>
  <c r="I43" i="38"/>
  <c r="H43" i="38"/>
  <c r="I35" i="38"/>
  <c r="H35" i="38"/>
  <c r="I19" i="38"/>
  <c r="H19" i="38"/>
  <c r="E102" i="38"/>
  <c r="E101" i="38"/>
  <c r="G39" i="99" l="1"/>
  <c r="F39" i="99"/>
  <c r="F37" i="99"/>
  <c r="G37" i="99"/>
  <c r="B2" i="99"/>
  <c r="C33" i="99"/>
  <c r="C27" i="99" l="1"/>
  <c r="C29" i="99"/>
  <c r="C28" i="99"/>
  <c r="C26" i="99"/>
  <c r="C20" i="99"/>
  <c r="C17" i="99"/>
  <c r="C16" i="99"/>
  <c r="C15" i="99"/>
  <c r="C14" i="99"/>
  <c r="C11" i="99"/>
  <c r="C21" i="99" s="1"/>
  <c r="C10" i="99"/>
  <c r="C12" i="99" l="1"/>
  <c r="C18" i="99"/>
  <c r="C22" i="99"/>
  <c r="F49" i="88" l="1"/>
  <c r="F48" i="88"/>
  <c r="F27" i="88"/>
  <c r="H7" i="88"/>
  <c r="F7" i="88"/>
  <c r="F18" i="84" l="1"/>
  <c r="F6" i="84"/>
  <c r="C61" i="81"/>
  <c r="C39" i="81"/>
  <c r="F7" i="81"/>
  <c r="F9" i="81"/>
  <c r="F35" i="96" l="1"/>
  <c r="A80" i="83" l="1"/>
  <c r="F78" i="83"/>
  <c r="B86" i="83"/>
  <c r="B76" i="83"/>
  <c r="A8" i="84" l="1"/>
  <c r="A48" i="88"/>
  <c r="A58" i="88"/>
  <c r="A6" i="84"/>
  <c r="A53" i="88"/>
  <c r="B103" i="38"/>
  <c r="B102" i="38"/>
  <c r="B101" i="38"/>
  <c r="E103" i="38"/>
  <c r="A39" i="81"/>
  <c r="A27" i="88"/>
  <c r="A7" i="81"/>
  <c r="A7" i="88"/>
  <c r="A9" i="81"/>
  <c r="G8" i="84"/>
  <c r="A39" i="88"/>
  <c r="A33" i="88"/>
  <c r="A61" i="81"/>
  <c r="A8" i="88"/>
  <c r="A18" i="84"/>
  <c r="F76" i="83"/>
  <c r="A36" i="97" l="1"/>
  <c r="B6" i="97"/>
  <c r="C35" i="97"/>
  <c r="C20" i="97"/>
  <c r="B39" i="96"/>
  <c r="E39" i="96" s="1"/>
  <c r="B8" i="97"/>
  <c r="B30" i="38"/>
  <c r="B34" i="38"/>
  <c r="H5" i="88" l="1"/>
  <c r="C58" i="84" l="1"/>
  <c r="B10" i="98"/>
  <c r="F7" i="98"/>
  <c r="C11" i="100" s="1"/>
  <c r="B7" i="98"/>
  <c r="B25" i="97"/>
  <c r="B29" i="97" s="1"/>
  <c r="B26" i="97"/>
  <c r="B31" i="97"/>
  <c r="C36" i="97"/>
  <c r="C37" i="97"/>
  <c r="C38" i="97"/>
  <c r="F10" i="98" l="1"/>
  <c r="D77" i="38"/>
  <c r="L77" i="38" l="1"/>
  <c r="L38" i="100" s="1"/>
  <c r="W25" i="100" s="1"/>
  <c r="M77" i="38"/>
  <c r="M38" i="100" s="1"/>
  <c r="X25" i="100" s="1"/>
  <c r="N77" i="38"/>
  <c r="N38" i="100" s="1"/>
  <c r="Y25" i="100" s="1"/>
  <c r="J77" i="38"/>
  <c r="K77" i="38"/>
  <c r="H77" i="38"/>
  <c r="I77" i="38"/>
  <c r="A5" i="95"/>
  <c r="D21" i="95"/>
  <c r="F31" i="95" s="1"/>
  <c r="D10" i="95"/>
  <c r="D68" i="95"/>
  <c r="F76" i="95" s="1"/>
  <c r="A24" i="89"/>
  <c r="A23" i="89"/>
  <c r="A22" i="89"/>
  <c r="A21" i="89"/>
  <c r="A20" i="89"/>
  <c r="A19" i="89"/>
  <c r="A18" i="89"/>
  <c r="A17" i="89"/>
  <c r="A16" i="81"/>
  <c r="A14" i="81"/>
  <c r="A66" i="84"/>
  <c r="A65" i="84"/>
  <c r="A64" i="84"/>
  <c r="A63" i="84"/>
  <c r="A62" i="84"/>
  <c r="A61" i="84"/>
  <c r="A60" i="84"/>
  <c r="A59" i="84"/>
  <c r="A58" i="84"/>
  <c r="A57" i="84"/>
  <c r="A56" i="84"/>
  <c r="A54" i="84"/>
  <c r="A53" i="84"/>
  <c r="A52" i="84"/>
  <c r="A51" i="84"/>
  <c r="A50" i="84"/>
  <c r="A49" i="84"/>
  <c r="A48" i="84"/>
  <c r="A47" i="84"/>
  <c r="A45" i="84"/>
  <c r="A43" i="84"/>
  <c r="A44" i="84" s="1"/>
  <c r="A42" i="84"/>
  <c r="A41" i="84"/>
  <c r="A40" i="84"/>
  <c r="A39" i="84"/>
  <c r="A38" i="84"/>
  <c r="A37" i="84"/>
  <c r="A36" i="84"/>
  <c r="A12" i="84"/>
  <c r="A65" i="83"/>
  <c r="A64" i="83"/>
  <c r="A63" i="83"/>
  <c r="A62" i="83"/>
  <c r="A61" i="83"/>
  <c r="A60" i="83"/>
  <c r="A59" i="83"/>
  <c r="A58" i="83"/>
  <c r="A57" i="83"/>
  <c r="A56" i="83"/>
  <c r="A55" i="83"/>
  <c r="A54" i="83"/>
  <c r="A53" i="83"/>
  <c r="A52" i="83"/>
  <c r="A51" i="83"/>
  <c r="A50" i="83"/>
  <c r="A49" i="83"/>
  <c r="B17" i="83"/>
  <c r="A16" i="83"/>
  <c r="A8" i="83"/>
  <c r="D28" i="96"/>
  <c r="A30" i="96"/>
  <c r="A24" i="79"/>
  <c r="D139" i="100" s="1"/>
  <c r="E139" i="100" s="1"/>
  <c r="D22" i="79"/>
  <c r="F30" i="91"/>
  <c r="F34" i="91" s="1"/>
  <c r="B34" i="91"/>
  <c r="B30" i="91"/>
  <c r="K27" i="38" l="1"/>
  <c r="K38" i="100"/>
  <c r="V25" i="100" s="1"/>
  <c r="J27" i="38"/>
  <c r="J38" i="100"/>
  <c r="U25" i="100" s="1"/>
  <c r="F16" i="95"/>
  <c r="D138" i="100"/>
  <c r="E138" i="100" s="1"/>
  <c r="D137" i="100"/>
  <c r="E137" i="100" s="1"/>
  <c r="C44" i="84"/>
  <c r="C45" i="84" s="1"/>
  <c r="A46" i="84"/>
  <c r="E28" i="96"/>
  <c r="D56" i="95"/>
  <c r="F64" i="95" s="1"/>
  <c r="A74" i="89"/>
  <c r="A73" i="89"/>
  <c r="A72" i="89"/>
  <c r="A71" i="89"/>
  <c r="A70" i="89"/>
  <c r="A69" i="89"/>
  <c r="A68" i="89"/>
  <c r="A67" i="89"/>
  <c r="F41" i="89" l="1"/>
  <c r="F112" i="89"/>
  <c r="H121" i="100"/>
  <c r="D36" i="95" s="1"/>
  <c r="F14" i="83"/>
  <c r="C47" i="84"/>
  <c r="C46" i="84"/>
  <c r="A111" i="83"/>
  <c r="A99" i="83"/>
  <c r="C129" i="100" l="1"/>
  <c r="L101" i="38"/>
  <c r="I101" i="38"/>
  <c r="O101" i="38"/>
  <c r="M101" i="38"/>
  <c r="K101" i="38"/>
  <c r="N101" i="38"/>
  <c r="J101" i="38"/>
  <c r="F52" i="95"/>
  <c r="A49" i="95"/>
  <c r="A48" i="95"/>
  <c r="D148" i="100"/>
  <c r="G126" i="100"/>
  <c r="A43" i="95"/>
  <c r="F44" i="95" s="1"/>
  <c r="A47" i="95"/>
  <c r="F48" i="95" s="1"/>
  <c r="F49" i="95" s="1"/>
  <c r="A40" i="95"/>
  <c r="A54" i="95" s="1"/>
  <c r="A108" i="83"/>
  <c r="A109" i="83"/>
  <c r="A110" i="83"/>
  <c r="F95" i="83"/>
  <c r="A94" i="83"/>
  <c r="A51" i="95" l="1"/>
  <c r="A52" i="95"/>
  <c r="A42" i="95"/>
  <c r="A41" i="95"/>
  <c r="A50" i="95"/>
  <c r="A53" i="95"/>
  <c r="A44" i="95"/>
  <c r="A46" i="95"/>
  <c r="F45" i="95"/>
  <c r="A45" i="95"/>
  <c r="F105" i="83"/>
  <c r="F106" i="83"/>
  <c r="A92" i="83"/>
  <c r="A93" i="83"/>
  <c r="A95" i="83"/>
  <c r="B12" i="83"/>
  <c r="A91" i="83"/>
  <c r="A90" i="83"/>
  <c r="A105" i="83"/>
  <c r="A106" i="83"/>
  <c r="A96" i="83"/>
  <c r="A97" i="83"/>
  <c r="A98" i="83"/>
  <c r="A103" i="83"/>
  <c r="A104" i="83"/>
  <c r="A107" i="83"/>
  <c r="A115" i="83"/>
  <c r="A89" i="83"/>
  <c r="A23" i="81"/>
  <c r="B115" i="83"/>
  <c r="F73" i="89" l="1"/>
  <c r="D151" i="100" s="1"/>
  <c r="F107" i="83"/>
  <c r="G105" i="83"/>
  <c r="D90" i="39" l="1"/>
  <c r="D89" i="39"/>
  <c r="D88" i="39"/>
  <c r="D87" i="39"/>
  <c r="D62" i="39"/>
  <c r="D57" i="39"/>
  <c r="D61" i="39"/>
  <c r="D54" i="39"/>
  <c r="D60" i="39"/>
  <c r="D51" i="39"/>
  <c r="D48" i="39"/>
  <c r="P19" i="39"/>
  <c r="H33" i="95"/>
  <c r="H26" i="95"/>
  <c r="H18" i="95"/>
  <c r="H15" i="95"/>
  <c r="H7" i="92"/>
  <c r="H6" i="81"/>
  <c r="H16" i="84"/>
  <c r="H34" i="83"/>
  <c r="H39" i="83"/>
  <c r="A59" i="89"/>
  <c r="A60" i="89"/>
  <c r="A61" i="89"/>
  <c r="A62" i="89"/>
  <c r="A63" i="89"/>
  <c r="A64" i="89"/>
  <c r="A65" i="89"/>
  <c r="A58" i="89"/>
  <c r="F60" i="89" s="1"/>
  <c r="E28" i="79"/>
  <c r="D29" i="96"/>
  <c r="E29" i="96" s="1"/>
  <c r="F43" i="83" s="1"/>
  <c r="D30" i="96"/>
  <c r="E27" i="96"/>
  <c r="D22" i="96"/>
  <c r="D23" i="96"/>
  <c r="F5" i="88" s="1"/>
  <c r="D24" i="96"/>
  <c r="F8" i="84" s="1"/>
  <c r="B23" i="96"/>
  <c r="B24" i="96"/>
  <c r="B22" i="96"/>
  <c r="B27" i="96"/>
  <c r="B28" i="96"/>
  <c r="B29" i="96"/>
  <c r="B30" i="96"/>
  <c r="D26" i="96"/>
  <c r="E26" i="96"/>
  <c r="B26" i="96"/>
  <c r="D20" i="96"/>
  <c r="E44" i="96" s="1"/>
  <c r="B20" i="96"/>
  <c r="C6" i="96"/>
  <c r="C4" i="96"/>
  <c r="C5" i="96"/>
  <c r="G30" i="83" l="1"/>
  <c r="G31" i="83" s="1"/>
  <c r="F32" i="89"/>
  <c r="D147" i="100" s="1"/>
  <c r="F10" i="89"/>
  <c r="C145" i="100" s="1"/>
  <c r="F92" i="89"/>
  <c r="C153" i="100" s="1"/>
  <c r="C150" i="100"/>
  <c r="F53" i="89"/>
  <c r="F8" i="83"/>
  <c r="E30" i="96"/>
  <c r="C35" i="96"/>
  <c r="C32" i="99"/>
  <c r="C38" i="81"/>
  <c r="C60" i="81"/>
  <c r="C65" i="81" s="1"/>
  <c r="F69" i="89"/>
  <c r="F7" i="84"/>
  <c r="F19" i="89"/>
  <c r="F37" i="89"/>
  <c r="E57" i="38"/>
  <c r="F57" i="38"/>
  <c r="G57" i="38"/>
  <c r="E58" i="38"/>
  <c r="F58" i="38"/>
  <c r="G58" i="38"/>
  <c r="E59" i="38"/>
  <c r="F59" i="38"/>
  <c r="G59" i="38"/>
  <c r="E60" i="38"/>
  <c r="F60" i="38"/>
  <c r="G60" i="38"/>
  <c r="E61" i="38"/>
  <c r="F61" i="38"/>
  <c r="G61" i="38"/>
  <c r="E63" i="38"/>
  <c r="F63" i="38"/>
  <c r="G63" i="38"/>
  <c r="E66" i="38"/>
  <c r="F66" i="38"/>
  <c r="G66" i="38"/>
  <c r="B71" i="38"/>
  <c r="B72" i="38"/>
  <c r="B73" i="38"/>
  <c r="B74" i="38"/>
  <c r="B75" i="38"/>
  <c r="B76" i="38"/>
  <c r="B77" i="38"/>
  <c r="B78" i="38"/>
  <c r="B79" i="38"/>
  <c r="B80" i="38"/>
  <c r="B81" i="38"/>
  <c r="B85" i="38"/>
  <c r="B86" i="38"/>
  <c r="B87" i="38"/>
  <c r="B88" i="38"/>
  <c r="B89" i="38"/>
  <c r="B90" i="38"/>
  <c r="B91" i="38"/>
  <c r="B92" i="38"/>
  <c r="B93" i="38"/>
  <c r="B94" i="38"/>
  <c r="B95" i="38"/>
  <c r="F55" i="83"/>
  <c r="D42" i="83"/>
  <c r="I44" i="38"/>
  <c r="H44" i="38"/>
  <c r="I36" i="38"/>
  <c r="H36" i="38"/>
  <c r="I20" i="38"/>
  <c r="H20" i="38"/>
  <c r="I13" i="38"/>
  <c r="H13" i="38"/>
  <c r="I12" i="38"/>
  <c r="H12" i="38"/>
  <c r="B9" i="38"/>
  <c r="B8" i="38"/>
  <c r="B21" i="88"/>
  <c r="B56" i="81"/>
  <c r="B53" i="81"/>
  <c r="B51" i="81"/>
  <c r="B34" i="81"/>
  <c r="B31" i="81"/>
  <c r="B29" i="81"/>
  <c r="B34" i="84"/>
  <c r="B21" i="84"/>
  <c r="B24" i="83"/>
  <c r="B14" i="92"/>
  <c r="B11" i="92"/>
  <c r="B128" i="89"/>
  <c r="B127" i="89"/>
  <c r="B13" i="88"/>
  <c r="B21" i="91"/>
  <c r="B18" i="91"/>
  <c r="B10" i="91"/>
  <c r="B7" i="91"/>
  <c r="B19" i="81"/>
  <c r="B11" i="81"/>
  <c r="F90" i="95"/>
  <c r="B24" i="38"/>
  <c r="B22" i="38"/>
  <c r="B23" i="38"/>
  <c r="B25" i="38"/>
  <c r="B26" i="38"/>
  <c r="B27" i="38"/>
  <c r="B28" i="38"/>
  <c r="B29" i="38"/>
  <c r="B31" i="38"/>
  <c r="B21" i="38"/>
  <c r="F27" i="95"/>
  <c r="F33" i="95"/>
  <c r="F29" i="95"/>
  <c r="F26" i="95"/>
  <c r="F18" i="95"/>
  <c r="F15" i="95"/>
  <c r="F111" i="95"/>
  <c r="F110" i="95"/>
  <c r="F107" i="95"/>
  <c r="F106" i="95"/>
  <c r="F100" i="95"/>
  <c r="F96" i="95"/>
  <c r="F74" i="95"/>
  <c r="H74" i="95" s="1"/>
  <c r="F91" i="95"/>
  <c r="F89" i="95"/>
  <c r="F82" i="95"/>
  <c r="F62" i="95"/>
  <c r="H62" i="95" s="1"/>
  <c r="D84" i="39"/>
  <c r="B4" i="95"/>
  <c r="O58" i="38" l="1"/>
  <c r="O63" i="38"/>
  <c r="O59" i="38"/>
  <c r="O61" i="38"/>
  <c r="O57" i="38"/>
  <c r="O60" i="38"/>
  <c r="C146" i="100"/>
  <c r="C148" i="100"/>
  <c r="C151" i="100"/>
  <c r="F42" i="83"/>
  <c r="H101" i="38"/>
  <c r="F101" i="38"/>
  <c r="G101" i="38"/>
  <c r="F41" i="99"/>
  <c r="F40" i="99"/>
  <c r="E40" i="99"/>
  <c r="E41" i="99"/>
  <c r="D40" i="99"/>
  <c r="D41" i="99"/>
  <c r="G42" i="99"/>
  <c r="G43" i="99"/>
  <c r="C41" i="99"/>
  <c r="C40" i="99"/>
  <c r="F42" i="99"/>
  <c r="F43" i="99"/>
  <c r="E43" i="99"/>
  <c r="E42" i="99"/>
  <c r="D42" i="99"/>
  <c r="D43" i="99"/>
  <c r="C43" i="99"/>
  <c r="C42" i="99"/>
  <c r="G41" i="99"/>
  <c r="G40" i="99"/>
  <c r="F28" i="95"/>
  <c r="F30" i="95" s="1"/>
  <c r="F32" i="95" s="1"/>
  <c r="F34" i="95" s="1"/>
  <c r="D91" i="39"/>
  <c r="F61" i="95" s="1"/>
  <c r="F98" i="95"/>
  <c r="F17" i="95"/>
  <c r="F19" i="95" s="1"/>
  <c r="F108" i="95"/>
  <c r="F104" i="95" s="1"/>
  <c r="F92" i="95"/>
  <c r="C47" i="99" l="1"/>
  <c r="F36" i="96"/>
  <c r="D94" i="38"/>
  <c r="F94" i="38" l="1"/>
  <c r="F30" i="38" s="1"/>
  <c r="K94" i="38"/>
  <c r="K30" i="38" s="1"/>
  <c r="J94" i="38"/>
  <c r="J30" i="38" s="1"/>
  <c r="I94" i="38"/>
  <c r="I30" i="38" s="1"/>
  <c r="H94" i="38"/>
  <c r="G94" i="38"/>
  <c r="G30" i="38" s="1"/>
  <c r="E94" i="38"/>
  <c r="F63" i="95"/>
  <c r="F65" i="95" s="1"/>
  <c r="H30" i="38" l="1"/>
  <c r="O30" i="38" s="1"/>
  <c r="O94" i="38"/>
  <c r="E30" i="38"/>
  <c r="A5" i="92"/>
  <c r="A6" i="92"/>
  <c r="A7" i="92"/>
  <c r="A8" i="92"/>
  <c r="A9" i="92"/>
  <c r="A10" i="92"/>
  <c r="A11" i="92"/>
  <c r="A12" i="92"/>
  <c r="A13" i="92"/>
  <c r="A14" i="92"/>
  <c r="A4" i="92"/>
  <c r="F7" i="92"/>
  <c r="F16" i="83"/>
  <c r="F80" i="83" s="1"/>
  <c r="D45" i="39"/>
  <c r="H94" i="89" s="1"/>
  <c r="D38" i="39"/>
  <c r="F26" i="92"/>
  <c r="F20" i="92"/>
  <c r="A83" i="83" l="1"/>
  <c r="A81" i="83"/>
  <c r="A19" i="83"/>
  <c r="H10" i="92"/>
  <c r="H8" i="95"/>
  <c r="H22" i="92"/>
  <c r="H28" i="92"/>
  <c r="H61" i="89"/>
  <c r="H70" i="89"/>
  <c r="H38" i="89"/>
  <c r="H50" i="89"/>
  <c r="H20" i="89"/>
  <c r="H29" i="89"/>
  <c r="H109" i="89"/>
  <c r="H11" i="89"/>
  <c r="A10" i="83"/>
  <c r="A9" i="83"/>
  <c r="A22" i="83"/>
  <c r="A21" i="83"/>
  <c r="A20" i="83"/>
  <c r="F10" i="83"/>
  <c r="F9" i="83"/>
  <c r="F9" i="92"/>
  <c r="F8" i="92"/>
  <c r="F13" i="92"/>
  <c r="F124" i="83" l="1"/>
  <c r="F91" i="83"/>
  <c r="F17" i="84"/>
  <c r="B28" i="97"/>
  <c r="F28" i="89"/>
  <c r="A12" i="91"/>
  <c r="A13" i="91"/>
  <c r="A14" i="91"/>
  <c r="A15" i="91"/>
  <c r="A16" i="91"/>
  <c r="A17" i="91"/>
  <c r="A18" i="91"/>
  <c r="A19" i="91"/>
  <c r="A20" i="91"/>
  <c r="A21" i="91"/>
  <c r="F64" i="89"/>
  <c r="F126" i="83" l="1"/>
  <c r="F127" i="83"/>
  <c r="C147" i="100"/>
  <c r="C156" i="100" s="1"/>
  <c r="F4" i="89" s="1"/>
  <c r="F25" i="92"/>
  <c r="F27" i="92" s="1"/>
  <c r="F19" i="92"/>
  <c r="F21" i="92" s="1"/>
  <c r="A20" i="88" l="1"/>
  <c r="A19" i="88"/>
  <c r="A18" i="88"/>
  <c r="A17" i="88"/>
  <c r="A11" i="88"/>
  <c r="A9" i="88"/>
  <c r="A12" i="88"/>
  <c r="A10" i="88"/>
  <c r="A60" i="88"/>
  <c r="A59" i="88"/>
  <c r="A41" i="88"/>
  <c r="A40" i="88"/>
  <c r="A35" i="88"/>
  <c r="A34" i="88"/>
  <c r="A28" i="88"/>
  <c r="A29" i="88"/>
  <c r="F28" i="88"/>
  <c r="F29" i="88"/>
  <c r="F17" i="91"/>
  <c r="F16" i="91"/>
  <c r="A46" i="81"/>
  <c r="A47" i="81"/>
  <c r="A48" i="81"/>
  <c r="A49" i="81"/>
  <c r="A50" i="81"/>
  <c r="A51" i="81"/>
  <c r="A52" i="81"/>
  <c r="A53" i="81"/>
  <c r="A54" i="81"/>
  <c r="A55" i="81"/>
  <c r="A56" i="81"/>
  <c r="A57" i="81"/>
  <c r="A58" i="81"/>
  <c r="A59" i="81"/>
  <c r="A60" i="81"/>
  <c r="A62" i="81"/>
  <c r="A63" i="81"/>
  <c r="A64" i="81"/>
  <c r="A65" i="81"/>
  <c r="A45" i="81"/>
  <c r="A24" i="81"/>
  <c r="A25" i="81"/>
  <c r="A26" i="81"/>
  <c r="A27" i="81"/>
  <c r="A28" i="81"/>
  <c r="A29" i="81"/>
  <c r="A30" i="81"/>
  <c r="A31" i="81"/>
  <c r="A32" i="81"/>
  <c r="A33" i="81"/>
  <c r="A34" i="81"/>
  <c r="A35" i="81"/>
  <c r="A36" i="81"/>
  <c r="A37" i="81"/>
  <c r="A38" i="81"/>
  <c r="A40" i="81"/>
  <c r="A41" i="81"/>
  <c r="A42" i="81"/>
  <c r="A43" i="81"/>
  <c r="F49" i="81"/>
  <c r="C64" i="81" l="1"/>
  <c r="C63" i="81"/>
  <c r="C62" i="81"/>
  <c r="F53" i="81"/>
  <c r="C42" i="81"/>
  <c r="C41" i="81"/>
  <c r="C40" i="81"/>
  <c r="C43" i="81" l="1"/>
  <c r="F10" i="91"/>
  <c r="J9" i="91" l="1"/>
  <c r="F26" i="81"/>
  <c r="C34" i="99" s="1"/>
  <c r="F48" i="81"/>
  <c r="F51" i="81" l="1"/>
  <c r="C35" i="99"/>
  <c r="F29" i="81"/>
  <c r="F32" i="81"/>
  <c r="F11" i="88"/>
  <c r="F54" i="81"/>
  <c r="F9" i="88"/>
  <c r="C36" i="99" l="1"/>
  <c r="F56" i="81"/>
  <c r="D35" i="99"/>
  <c r="C49" i="99" s="1"/>
  <c r="F34" i="81"/>
  <c r="D34" i="99"/>
  <c r="C48" i="99" s="1"/>
  <c r="F17" i="88"/>
  <c r="F19" i="88"/>
  <c r="F50" i="88" l="1"/>
  <c r="E58" i="84"/>
  <c r="F22" i="83"/>
  <c r="F84" i="83" s="1"/>
  <c r="F106" i="89" l="1"/>
  <c r="F44" i="88"/>
  <c r="B50" i="88"/>
  <c r="F47" i="88"/>
  <c r="F46" i="88"/>
  <c r="F45" i="88"/>
  <c r="B44" i="88"/>
  <c r="F31" i="88"/>
  <c r="F30" i="88"/>
  <c r="F26" i="88"/>
  <c r="F25" i="88"/>
  <c r="F6" i="83"/>
  <c r="F12" i="83" s="1"/>
  <c r="F53" i="88" l="1"/>
  <c r="F55" i="88"/>
  <c r="F54" i="88"/>
  <c r="F33" i="88"/>
  <c r="F39" i="88" s="1"/>
  <c r="F52" i="88"/>
  <c r="F57" i="88" s="1"/>
  <c r="F35" i="88"/>
  <c r="F41" i="88" s="1"/>
  <c r="F34" i="88"/>
  <c r="F40" i="88" s="1"/>
  <c r="F32" i="88"/>
  <c r="F38" i="88" s="1"/>
  <c r="F8" i="81"/>
  <c r="F12" i="84"/>
  <c r="F31" i="84"/>
  <c r="F27" i="84"/>
  <c r="F28" i="84"/>
  <c r="F58" i="88" l="1"/>
  <c r="F8" i="88" s="1"/>
  <c r="F96" i="83"/>
  <c r="A13" i="84"/>
  <c r="A14" i="84"/>
  <c r="F59" i="88"/>
  <c r="F10" i="88" s="1"/>
  <c r="F60" i="88"/>
  <c r="F12" i="88" s="1"/>
  <c r="F20" i="88" s="1"/>
  <c r="F16" i="84"/>
  <c r="F19" i="84" s="1"/>
  <c r="B58" i="84"/>
  <c r="F5" i="84"/>
  <c r="F9" i="84" s="1"/>
  <c r="C71" i="38" l="1"/>
  <c r="N19" i="100" s="1"/>
  <c r="D71" i="38"/>
  <c r="F108" i="83"/>
  <c r="F112" i="83" s="1"/>
  <c r="F100" i="83"/>
  <c r="C5" i="100" s="1"/>
  <c r="F18" i="88"/>
  <c r="L19" i="100" l="1"/>
  <c r="H19" i="100"/>
  <c r="E19" i="100"/>
  <c r="I19" i="100"/>
  <c r="M19" i="100"/>
  <c r="F19" i="100"/>
  <c r="J19" i="100"/>
  <c r="K19" i="100"/>
  <c r="G19" i="100"/>
  <c r="N32" i="100"/>
  <c r="K32" i="100"/>
  <c r="J32" i="100"/>
  <c r="H32" i="100"/>
  <c r="L32" i="100"/>
  <c r="I32" i="100"/>
  <c r="M32" i="100"/>
  <c r="M71" i="38"/>
  <c r="N71" i="38"/>
  <c r="L71" i="38"/>
  <c r="K71" i="38"/>
  <c r="J71" i="38"/>
  <c r="F71" i="38"/>
  <c r="H71" i="38"/>
  <c r="E71" i="38"/>
  <c r="I71" i="38"/>
  <c r="G71" i="38"/>
  <c r="E32" i="100"/>
  <c r="G32" i="100"/>
  <c r="F32" i="100"/>
  <c r="F24" i="84"/>
  <c r="C54" i="83"/>
  <c r="D54" i="83" s="1"/>
  <c r="D53" i="83"/>
  <c r="C53" i="83"/>
  <c r="D61" i="83"/>
  <c r="D60" i="83"/>
  <c r="D59" i="83"/>
  <c r="F17" i="81"/>
  <c r="F35" i="83"/>
  <c r="F36" i="83"/>
  <c r="F37" i="83"/>
  <c r="D34" i="83"/>
  <c r="F34" i="83" s="1"/>
  <c r="D40" i="83"/>
  <c r="C36" i="96" s="1"/>
  <c r="F5" i="83"/>
  <c r="B28" i="84"/>
  <c r="Y19" i="100" l="1"/>
  <c r="U19" i="100"/>
  <c r="V19" i="100"/>
  <c r="W19" i="100"/>
  <c r="X19" i="100"/>
  <c r="O32" i="100"/>
  <c r="O19" i="100"/>
  <c r="O71" i="38"/>
  <c r="C45" i="96" s="1"/>
  <c r="P19" i="100"/>
  <c r="F15" i="83"/>
  <c r="F33" i="83" s="1"/>
  <c r="F7" i="83"/>
  <c r="B27" i="97" s="1"/>
  <c r="F6" i="81"/>
  <c r="E55" i="83"/>
  <c r="D39" i="83"/>
  <c r="D33" i="83"/>
  <c r="F11" i="84"/>
  <c r="Z19" i="100" l="1"/>
  <c r="B30" i="97"/>
  <c r="D25" i="97"/>
  <c r="D29" i="97" s="1"/>
  <c r="F23" i="84"/>
  <c r="F25" i="84" s="1"/>
  <c r="C65" i="84" s="1"/>
  <c r="B33" i="97"/>
  <c r="F11" i="81"/>
  <c r="F93" i="83"/>
  <c r="F98" i="83" s="1"/>
  <c r="F15" i="91"/>
  <c r="F18" i="91" s="1"/>
  <c r="C73" i="38" l="1"/>
  <c r="M74" i="38"/>
  <c r="M35" i="100" s="1"/>
  <c r="X22" i="100" s="1"/>
  <c r="N74" i="38"/>
  <c r="N35" i="100" s="1"/>
  <c r="Y22" i="100" s="1"/>
  <c r="L74" i="38"/>
  <c r="L35" i="100" s="1"/>
  <c r="W22" i="100" s="1"/>
  <c r="J74" i="38"/>
  <c r="J35" i="100" s="1"/>
  <c r="U22" i="100" s="1"/>
  <c r="K74" i="38"/>
  <c r="K35" i="100" s="1"/>
  <c r="V22" i="100" s="1"/>
  <c r="I74" i="38"/>
  <c r="I35" i="100" s="1"/>
  <c r="T22" i="100" s="1"/>
  <c r="H74" i="38"/>
  <c r="H35" i="100" s="1"/>
  <c r="S22" i="100" s="1"/>
  <c r="D74" i="38"/>
  <c r="C8" i="100"/>
  <c r="F110" i="83"/>
  <c r="F114" i="83" s="1"/>
  <c r="F102" i="83"/>
  <c r="C7" i="100" s="1"/>
  <c r="G74" i="38"/>
  <c r="G35" i="100" s="1"/>
  <c r="R22" i="100" s="1"/>
  <c r="F74" i="38"/>
  <c r="F35" i="100" s="1"/>
  <c r="Q22" i="100" s="1"/>
  <c r="E74" i="38"/>
  <c r="D26" i="97"/>
  <c r="D33" i="97"/>
  <c r="F47" i="83"/>
  <c r="H42" i="38"/>
  <c r="H46" i="38" s="1"/>
  <c r="I42" i="38"/>
  <c r="I46" i="38" s="1"/>
  <c r="F21" i="91"/>
  <c r="H88" i="38" s="1"/>
  <c r="F17" i="83"/>
  <c r="F44" i="83" s="1"/>
  <c r="F134" i="83" s="1"/>
  <c r="F135" i="83" s="1"/>
  <c r="M21" i="100" l="1"/>
  <c r="L21" i="100"/>
  <c r="N21" i="100"/>
  <c r="K21" i="100"/>
  <c r="J21" i="100"/>
  <c r="I21" i="100"/>
  <c r="H21" i="100"/>
  <c r="G21" i="100"/>
  <c r="F21" i="100"/>
  <c r="E21" i="100"/>
  <c r="M88" i="38"/>
  <c r="L88" i="38"/>
  <c r="N88" i="38"/>
  <c r="J88" i="38"/>
  <c r="K88" i="38"/>
  <c r="O74" i="38"/>
  <c r="I88" i="38"/>
  <c r="I60" i="100" s="1"/>
  <c r="T47" i="100" s="1"/>
  <c r="H60" i="100"/>
  <c r="S47" i="100" s="1"/>
  <c r="E35" i="100"/>
  <c r="F23" i="89"/>
  <c r="D146" i="100" s="1"/>
  <c r="G44" i="83"/>
  <c r="G88" i="38"/>
  <c r="G60" i="100" s="1"/>
  <c r="R47" i="100" s="1"/>
  <c r="E88" i="38"/>
  <c r="F88" i="38"/>
  <c r="F60" i="100" s="1"/>
  <c r="Q47" i="100" s="1"/>
  <c r="F18" i="83"/>
  <c r="C130" i="100" s="1"/>
  <c r="F19" i="83"/>
  <c r="F20" i="83"/>
  <c r="J24" i="38" l="1"/>
  <c r="J60" i="100"/>
  <c r="U47" i="100" s="1"/>
  <c r="N24" i="38"/>
  <c r="N60" i="100"/>
  <c r="Y47" i="100" s="1"/>
  <c r="L24" i="38"/>
  <c r="L60" i="100"/>
  <c r="W47" i="100" s="1"/>
  <c r="M24" i="38"/>
  <c r="M60" i="100"/>
  <c r="X47" i="100" s="1"/>
  <c r="K24" i="38"/>
  <c r="K60" i="100"/>
  <c r="V47" i="100" s="1"/>
  <c r="P22" i="100"/>
  <c r="O35" i="100"/>
  <c r="Z22" i="100" s="1"/>
  <c r="O21" i="100"/>
  <c r="O88" i="38"/>
  <c r="E60" i="100"/>
  <c r="E24" i="38"/>
  <c r="C48" i="96"/>
  <c r="D27" i="97"/>
  <c r="F79" i="83"/>
  <c r="G24" i="38"/>
  <c r="F24" i="38"/>
  <c r="I24" i="38"/>
  <c r="H24" i="38"/>
  <c r="F30" i="84"/>
  <c r="F32" i="84" s="1"/>
  <c r="F29" i="84"/>
  <c r="C53" i="84" s="1"/>
  <c r="P47" i="100" l="1"/>
  <c r="O60" i="100"/>
  <c r="Z47" i="100" s="1"/>
  <c r="O24" i="38"/>
  <c r="F81" i="83"/>
  <c r="F48" i="96"/>
  <c r="B14" i="97"/>
  <c r="A28" i="84"/>
  <c r="A31" i="84"/>
  <c r="A32" i="84"/>
  <c r="A30" i="84"/>
  <c r="A27" i="84"/>
  <c r="C52" i="84"/>
  <c r="A29" i="84"/>
  <c r="A26" i="84"/>
  <c r="H19" i="41"/>
  <c r="F14" i="81" l="1"/>
  <c r="F82" i="83"/>
  <c r="F15" i="81" s="1"/>
  <c r="G6" i="41"/>
  <c r="C131" i="100" l="1"/>
  <c r="F15" i="88"/>
  <c r="D32" i="99" s="1"/>
  <c r="C46" i="99" s="1"/>
  <c r="B3" i="38"/>
  <c r="O102" i="38" l="1"/>
  <c r="O103" i="38" s="1"/>
  <c r="J102" i="38"/>
  <c r="J103" i="38" s="1"/>
  <c r="M102" i="38"/>
  <c r="M103" i="38" s="1"/>
  <c r="N102" i="38"/>
  <c r="N103" i="38" s="1"/>
  <c r="K102" i="38"/>
  <c r="K103" i="38" s="1"/>
  <c r="I102" i="38"/>
  <c r="I103" i="38" s="1"/>
  <c r="L102" i="38"/>
  <c r="L103" i="38" s="1"/>
  <c r="G102" i="38"/>
  <c r="G103" i="38" s="1"/>
  <c r="F102" i="38"/>
  <c r="F103" i="38" s="1"/>
  <c r="H102" i="38"/>
  <c r="H103" i="38" s="1"/>
  <c r="C50" i="99"/>
  <c r="C3" i="99" s="1"/>
  <c r="C4" i="99" s="1"/>
  <c r="D36" i="99"/>
  <c r="B36" i="38"/>
  <c r="C5" i="99" l="1"/>
  <c r="C6" i="99"/>
  <c r="D30" i="97" l="1"/>
  <c r="F13" i="81"/>
  <c r="D53" i="84" l="1"/>
  <c r="D58" i="84"/>
  <c r="C54" i="84"/>
  <c r="C55" i="84" s="1"/>
  <c r="F6" i="41" l="1"/>
  <c r="G9" i="41"/>
  <c r="F9" i="41"/>
  <c r="H18" i="41"/>
  <c r="H17" i="41"/>
  <c r="H16" i="41"/>
  <c r="H15" i="41"/>
  <c r="H14" i="41"/>
  <c r="H13" i="41"/>
  <c r="H12" i="41"/>
  <c r="H11" i="41"/>
  <c r="C61" i="84" l="1"/>
  <c r="C64" i="84" s="1"/>
  <c r="D6" i="39"/>
  <c r="F6" i="88" l="1"/>
  <c r="F13" i="88" s="1"/>
  <c r="C9" i="100" s="1"/>
  <c r="F128" i="83"/>
  <c r="C66" i="84"/>
  <c r="D10" i="39"/>
  <c r="F109" i="89" s="1"/>
  <c r="F110" i="89" s="1"/>
  <c r="C63" i="83"/>
  <c r="C65" i="83" s="1"/>
  <c r="F21" i="83" s="1"/>
  <c r="D12" i="39"/>
  <c r="D7" i="39"/>
  <c r="D8" i="39"/>
  <c r="D9" i="39"/>
  <c r="D75" i="38" l="1"/>
  <c r="D73" i="38"/>
  <c r="F16" i="88"/>
  <c r="D32" i="97" s="1"/>
  <c r="B32" i="97"/>
  <c r="D28" i="97"/>
  <c r="F83" i="83"/>
  <c r="F86" i="83" s="1"/>
  <c r="F24" i="83"/>
  <c r="F10" i="92"/>
  <c r="F11" i="92" s="1"/>
  <c r="C12" i="100" s="1"/>
  <c r="F8" i="95"/>
  <c r="F46" i="95" s="1"/>
  <c r="F50" i="95" s="1"/>
  <c r="F22" i="92"/>
  <c r="F28" i="92"/>
  <c r="F29" i="92" s="1"/>
  <c r="D16" i="39"/>
  <c r="F16" i="81"/>
  <c r="F19" i="81" s="1"/>
  <c r="D7" i="100" s="1"/>
  <c r="D14" i="39"/>
  <c r="D15" i="39"/>
  <c r="D13" i="39"/>
  <c r="H34" i="100" l="1"/>
  <c r="I34" i="100"/>
  <c r="D85" i="38"/>
  <c r="C85" i="38"/>
  <c r="G73" i="38"/>
  <c r="F34" i="100"/>
  <c r="K73" i="38"/>
  <c r="G34" i="100"/>
  <c r="E34" i="100"/>
  <c r="J34" i="100"/>
  <c r="N73" i="38"/>
  <c r="J73" i="38"/>
  <c r="L73" i="38"/>
  <c r="N34" i="100"/>
  <c r="E73" i="38"/>
  <c r="M34" i="100"/>
  <c r="L34" i="100"/>
  <c r="K34" i="100"/>
  <c r="I73" i="38"/>
  <c r="H73" i="38"/>
  <c r="M73" i="38"/>
  <c r="F73" i="38"/>
  <c r="F21" i="88"/>
  <c r="D9" i="100" s="1"/>
  <c r="M75" i="38"/>
  <c r="L75" i="38"/>
  <c r="N75" i="38"/>
  <c r="J75" i="38"/>
  <c r="K75" i="38"/>
  <c r="D13" i="100"/>
  <c r="I75" i="38"/>
  <c r="I36" i="100" s="1"/>
  <c r="T23" i="100" s="1"/>
  <c r="H75" i="38"/>
  <c r="H36" i="100" s="1"/>
  <c r="S23" i="100" s="1"/>
  <c r="F50" i="89"/>
  <c r="F51" i="89" s="1"/>
  <c r="F94" i="89"/>
  <c r="F99" i="89" s="1"/>
  <c r="F81" i="89"/>
  <c r="F82" i="89" s="1"/>
  <c r="F85" i="89" s="1"/>
  <c r="F101" i="95"/>
  <c r="F102" i="95" s="1"/>
  <c r="F94" i="95" s="1"/>
  <c r="D5" i="100"/>
  <c r="F86" i="95"/>
  <c r="F87" i="95" s="1"/>
  <c r="F84" i="95" s="1"/>
  <c r="D19" i="97"/>
  <c r="E13" i="100" s="1"/>
  <c r="G75" i="38"/>
  <c r="G36" i="100" s="1"/>
  <c r="R23" i="100" s="1"/>
  <c r="F75" i="38"/>
  <c r="F36" i="100" s="1"/>
  <c r="Q23" i="100" s="1"/>
  <c r="E75" i="38"/>
  <c r="C78" i="38"/>
  <c r="D11" i="97"/>
  <c r="E5" i="100" s="1"/>
  <c r="D87" i="38"/>
  <c r="D13" i="97"/>
  <c r="E7" i="100" s="1"/>
  <c r="C87" i="38"/>
  <c r="F70" i="89"/>
  <c r="F71" i="89" s="1"/>
  <c r="F74" i="89" s="1"/>
  <c r="F121" i="89"/>
  <c r="F124" i="89" s="1"/>
  <c r="F23" i="92"/>
  <c r="F61" i="89"/>
  <c r="F62" i="89" s="1"/>
  <c r="F65" i="89" s="1"/>
  <c r="F20" i="89"/>
  <c r="F38" i="89"/>
  <c r="F11" i="89"/>
  <c r="F29" i="89"/>
  <c r="B46" i="38"/>
  <c r="B45" i="38"/>
  <c r="L46" i="100" l="1"/>
  <c r="M46" i="100"/>
  <c r="N46" i="100"/>
  <c r="L44" i="100"/>
  <c r="M44" i="100"/>
  <c r="N44" i="100"/>
  <c r="I59" i="100"/>
  <c r="H59" i="100"/>
  <c r="X21" i="100"/>
  <c r="V21" i="100"/>
  <c r="W21" i="100"/>
  <c r="Y21" i="100"/>
  <c r="U21" i="100"/>
  <c r="N78" i="38"/>
  <c r="N26" i="100" s="1"/>
  <c r="Y26" i="100" s="1"/>
  <c r="O34" i="100"/>
  <c r="O73" i="38"/>
  <c r="C47" i="96" s="1"/>
  <c r="N59" i="100"/>
  <c r="L59" i="100"/>
  <c r="J59" i="100"/>
  <c r="K59" i="100"/>
  <c r="M59" i="100"/>
  <c r="K57" i="100"/>
  <c r="I57" i="100"/>
  <c r="H57" i="100"/>
  <c r="J57" i="100"/>
  <c r="N57" i="100"/>
  <c r="M57" i="100"/>
  <c r="L57" i="100"/>
  <c r="K44" i="100"/>
  <c r="J44" i="100"/>
  <c r="H44" i="100"/>
  <c r="I44" i="100"/>
  <c r="H46" i="100"/>
  <c r="E46" i="100"/>
  <c r="G46" i="100"/>
  <c r="J46" i="100"/>
  <c r="K46" i="100"/>
  <c r="I46" i="100"/>
  <c r="F46" i="100"/>
  <c r="K36" i="100"/>
  <c r="V23" i="100" s="1"/>
  <c r="J36" i="100"/>
  <c r="U23" i="100" s="1"/>
  <c r="N36" i="100"/>
  <c r="Y23" i="100" s="1"/>
  <c r="L36" i="100"/>
  <c r="W23" i="100" s="1"/>
  <c r="G44" i="100"/>
  <c r="F44" i="100"/>
  <c r="E44" i="100"/>
  <c r="F87" i="38"/>
  <c r="E87" i="38"/>
  <c r="G87" i="38"/>
  <c r="M36" i="100"/>
  <c r="X23" i="100" s="1"/>
  <c r="D89" i="38"/>
  <c r="G89" i="38" s="1"/>
  <c r="G61" i="100" s="1"/>
  <c r="R48" i="100" s="1"/>
  <c r="D15" i="97"/>
  <c r="E9" i="100" s="1"/>
  <c r="M85" i="38"/>
  <c r="N85" i="38"/>
  <c r="L85" i="38"/>
  <c r="N87" i="38"/>
  <c r="M87" i="38"/>
  <c r="L87" i="38"/>
  <c r="K87" i="38"/>
  <c r="J87" i="38"/>
  <c r="K85" i="38"/>
  <c r="J85" i="38"/>
  <c r="O75" i="38"/>
  <c r="C49" i="96" s="1"/>
  <c r="L78" i="38"/>
  <c r="M78" i="38"/>
  <c r="J78" i="38"/>
  <c r="K78" i="38"/>
  <c r="H85" i="38"/>
  <c r="E85" i="38"/>
  <c r="F85" i="38"/>
  <c r="G85" i="38"/>
  <c r="I85" i="38"/>
  <c r="H87" i="38"/>
  <c r="I87" i="38"/>
  <c r="E36" i="100"/>
  <c r="H78" i="38"/>
  <c r="H26" i="100" s="1"/>
  <c r="I78" i="38"/>
  <c r="I26" i="100" s="1"/>
  <c r="F56" i="89"/>
  <c r="D149" i="100" s="1"/>
  <c r="E149" i="100" s="1"/>
  <c r="F95" i="89"/>
  <c r="F53" i="95"/>
  <c r="F54" i="95" s="1"/>
  <c r="G59" i="100"/>
  <c r="F59" i="100"/>
  <c r="E59" i="100"/>
  <c r="E57" i="100"/>
  <c r="G57" i="100"/>
  <c r="F57" i="100"/>
  <c r="F113" i="95"/>
  <c r="F73" i="95" s="1"/>
  <c r="F75" i="95" s="1"/>
  <c r="F77" i="95" s="1"/>
  <c r="D79" i="38"/>
  <c r="C13" i="100"/>
  <c r="G78" i="38"/>
  <c r="G26" i="100" s="1"/>
  <c r="E78" i="38"/>
  <c r="F78" i="38"/>
  <c r="F26" i="100" s="1"/>
  <c r="F14" i="92"/>
  <c r="F113" i="89"/>
  <c r="D154" i="100" s="1"/>
  <c r="E154" i="100" s="1"/>
  <c r="D91" i="38"/>
  <c r="D93" i="38"/>
  <c r="N93" i="38" s="1"/>
  <c r="F89" i="38" l="1"/>
  <c r="F61" i="100" s="1"/>
  <c r="Q48" i="100" s="1"/>
  <c r="N79" i="38"/>
  <c r="N40" i="100" s="1"/>
  <c r="Y27" i="100" s="1"/>
  <c r="Z21" i="100"/>
  <c r="N65" i="100"/>
  <c r="Y52" i="100" s="1"/>
  <c r="O36" i="100"/>
  <c r="Z23" i="100" s="1"/>
  <c r="O57" i="100"/>
  <c r="J23" i="38"/>
  <c r="U46" i="100"/>
  <c r="K21" i="38"/>
  <c r="V44" i="100"/>
  <c r="K23" i="38"/>
  <c r="V46" i="100"/>
  <c r="L23" i="38"/>
  <c r="W46" i="100"/>
  <c r="M23" i="38"/>
  <c r="X46" i="100"/>
  <c r="O46" i="100"/>
  <c r="N23" i="38"/>
  <c r="Y46" i="100"/>
  <c r="L21" i="38"/>
  <c r="W44" i="100"/>
  <c r="N21" i="38"/>
  <c r="Y44" i="100"/>
  <c r="O44" i="100"/>
  <c r="M21" i="38"/>
  <c r="X44" i="100"/>
  <c r="O59" i="100"/>
  <c r="J21" i="38"/>
  <c r="U44" i="100"/>
  <c r="K26" i="100"/>
  <c r="V26" i="100" s="1"/>
  <c r="J26" i="100"/>
  <c r="U26" i="100" s="1"/>
  <c r="M26" i="100"/>
  <c r="X26" i="100" s="1"/>
  <c r="L26" i="100"/>
  <c r="W26" i="100" s="1"/>
  <c r="E89" i="38"/>
  <c r="E61" i="100" s="1"/>
  <c r="L89" i="38"/>
  <c r="L61" i="100" s="1"/>
  <c r="I89" i="38"/>
  <c r="I61" i="100" s="1"/>
  <c r="T48" i="100" s="1"/>
  <c r="H89" i="38"/>
  <c r="H61" i="100" s="1"/>
  <c r="S48" i="100" s="1"/>
  <c r="J89" i="38"/>
  <c r="J61" i="100" s="1"/>
  <c r="K89" i="38"/>
  <c r="K61" i="100" s="1"/>
  <c r="N89" i="38"/>
  <c r="N61" i="100" s="1"/>
  <c r="M89" i="38"/>
  <c r="M61" i="100" s="1"/>
  <c r="P23" i="100"/>
  <c r="M91" i="38"/>
  <c r="N91" i="38"/>
  <c r="L91" i="38"/>
  <c r="O87" i="38"/>
  <c r="O85" i="38"/>
  <c r="B11" i="97" s="1"/>
  <c r="L79" i="38"/>
  <c r="M79" i="38"/>
  <c r="J79" i="38"/>
  <c r="K79" i="38"/>
  <c r="L93" i="38"/>
  <c r="M93" i="38"/>
  <c r="O78" i="38"/>
  <c r="E91" i="38"/>
  <c r="K91" i="38"/>
  <c r="K63" i="100" s="1"/>
  <c r="V50" i="100" s="1"/>
  <c r="J91" i="38"/>
  <c r="J63" i="100" s="1"/>
  <c r="U50" i="100" s="1"/>
  <c r="I91" i="38"/>
  <c r="H91" i="38"/>
  <c r="J93" i="38"/>
  <c r="K93" i="38"/>
  <c r="H93" i="38"/>
  <c r="H65" i="100" s="1"/>
  <c r="S52" i="100" s="1"/>
  <c r="I93" i="38"/>
  <c r="I65" i="100" s="1"/>
  <c r="T52" i="100" s="1"/>
  <c r="D12" i="100"/>
  <c r="E26" i="100"/>
  <c r="H79" i="38"/>
  <c r="I79" i="38"/>
  <c r="D153" i="100"/>
  <c r="E153" i="100" s="1"/>
  <c r="E156" i="100" s="1"/>
  <c r="D161" i="100" s="1"/>
  <c r="D162" i="100" s="1"/>
  <c r="D95" i="38"/>
  <c r="P44" i="100"/>
  <c r="Q46" i="100"/>
  <c r="T44" i="100"/>
  <c r="Q44" i="100"/>
  <c r="P46" i="100"/>
  <c r="R44" i="100"/>
  <c r="S44" i="100"/>
  <c r="H23" i="38"/>
  <c r="S46" i="100"/>
  <c r="G23" i="38"/>
  <c r="R46" i="100"/>
  <c r="I23" i="38"/>
  <c r="T46" i="100"/>
  <c r="Q26" i="100"/>
  <c r="R26" i="100"/>
  <c r="T26" i="100"/>
  <c r="S26" i="100"/>
  <c r="D11" i="100"/>
  <c r="C14" i="100"/>
  <c r="E93" i="38"/>
  <c r="E21" i="38"/>
  <c r="H21" i="38"/>
  <c r="F21" i="38"/>
  <c r="I21" i="38"/>
  <c r="G25" i="38"/>
  <c r="D18" i="97"/>
  <c r="E12" i="100" s="1"/>
  <c r="G93" i="38"/>
  <c r="G65" i="100" s="1"/>
  <c r="R52" i="100" s="1"/>
  <c r="F93" i="38"/>
  <c r="F65" i="100" s="1"/>
  <c r="Q52" i="100" s="1"/>
  <c r="D17" i="97"/>
  <c r="E11" i="100" s="1"/>
  <c r="B17" i="97"/>
  <c r="C92" i="38"/>
  <c r="H92" i="38" s="1"/>
  <c r="E79" i="38"/>
  <c r="G79" i="38"/>
  <c r="F79" i="38"/>
  <c r="F40" i="100" s="1"/>
  <c r="G21" i="38"/>
  <c r="E23" i="38"/>
  <c r="F23" i="38"/>
  <c r="F12" i="89"/>
  <c r="F15" i="89" s="1"/>
  <c r="F21" i="89"/>
  <c r="F24" i="89" s="1"/>
  <c r="F30" i="89"/>
  <c r="F33" i="89" s="1"/>
  <c r="F39" i="89"/>
  <c r="F42" i="89" s="1"/>
  <c r="E159" i="100" l="1"/>
  <c r="C160" i="100" s="1"/>
  <c r="C161" i="100" s="1"/>
  <c r="N29" i="38"/>
  <c r="F25" i="38"/>
  <c r="F127" i="89"/>
  <c r="L27" i="38"/>
  <c r="L63" i="100"/>
  <c r="W50" i="100" s="1"/>
  <c r="N27" i="38"/>
  <c r="N63" i="100"/>
  <c r="Y50" i="100" s="1"/>
  <c r="M27" i="38"/>
  <c r="M63" i="100"/>
  <c r="X50" i="100" s="1"/>
  <c r="M65" i="100"/>
  <c r="X52" i="100" s="1"/>
  <c r="L65" i="100"/>
  <c r="W52" i="100" s="1"/>
  <c r="K65" i="100"/>
  <c r="V52" i="100" s="1"/>
  <c r="J65" i="100"/>
  <c r="U52" i="100" s="1"/>
  <c r="M40" i="100"/>
  <c r="X27" i="100" s="1"/>
  <c r="L40" i="100"/>
  <c r="W27" i="100" s="1"/>
  <c r="K40" i="100"/>
  <c r="V27" i="100" s="1"/>
  <c r="J40" i="100"/>
  <c r="U27" i="100" s="1"/>
  <c r="Z46" i="100"/>
  <c r="H25" i="38"/>
  <c r="N25" i="38"/>
  <c r="Y48" i="100"/>
  <c r="L25" i="38"/>
  <c r="W48" i="100"/>
  <c r="Z44" i="100"/>
  <c r="K25" i="38"/>
  <c r="V48" i="100"/>
  <c r="M25" i="38"/>
  <c r="X48" i="100"/>
  <c r="J25" i="38"/>
  <c r="U48" i="100"/>
  <c r="P48" i="100"/>
  <c r="O61" i="100"/>
  <c r="O26" i="100"/>
  <c r="Z26" i="100" s="1"/>
  <c r="E25" i="38"/>
  <c r="O89" i="38"/>
  <c r="F49" i="96" s="1"/>
  <c r="I25" i="38"/>
  <c r="L92" i="38"/>
  <c r="L51" i="100" s="1"/>
  <c r="M92" i="38"/>
  <c r="M51" i="100" s="1"/>
  <c r="N92" i="38"/>
  <c r="N51" i="100" s="1"/>
  <c r="O23" i="38"/>
  <c r="O21" i="38"/>
  <c r="I92" i="38"/>
  <c r="L29" i="38"/>
  <c r="M29" i="38"/>
  <c r="L95" i="38"/>
  <c r="L31" i="38" s="1"/>
  <c r="N95" i="38"/>
  <c r="N31" i="38" s="1"/>
  <c r="M95" i="38"/>
  <c r="M31" i="38" s="1"/>
  <c r="K95" i="38"/>
  <c r="K31" i="38" s="1"/>
  <c r="J92" i="38"/>
  <c r="J51" i="100" s="1"/>
  <c r="K92" i="38"/>
  <c r="K51" i="100" s="1"/>
  <c r="O93" i="38"/>
  <c r="B19" i="97" s="1"/>
  <c r="O79" i="38"/>
  <c r="K29" i="38"/>
  <c r="J29" i="38"/>
  <c r="P26" i="100"/>
  <c r="I95" i="38"/>
  <c r="I31" i="38" s="1"/>
  <c r="J95" i="38"/>
  <c r="J31" i="38" s="1"/>
  <c r="F95" i="38"/>
  <c r="F31" i="38" s="1"/>
  <c r="H95" i="38"/>
  <c r="H31" i="38" s="1"/>
  <c r="E65" i="100"/>
  <c r="E40" i="100"/>
  <c r="D157" i="100"/>
  <c r="D158" i="100" s="1"/>
  <c r="G95" i="38"/>
  <c r="G31" i="38" s="1"/>
  <c r="E95" i="38"/>
  <c r="G40" i="100"/>
  <c r="R27" i="100" s="1"/>
  <c r="H40" i="100"/>
  <c r="S27" i="100" s="1"/>
  <c r="I40" i="100"/>
  <c r="T27" i="100" s="1"/>
  <c r="Q27" i="100"/>
  <c r="T21" i="100"/>
  <c r="S21" i="100"/>
  <c r="R21" i="100"/>
  <c r="Q21" i="100"/>
  <c r="E29" i="38"/>
  <c r="H29" i="38"/>
  <c r="I29" i="38"/>
  <c r="F92" i="38"/>
  <c r="F29" i="38"/>
  <c r="G29" i="38"/>
  <c r="G92" i="38"/>
  <c r="E92" i="38"/>
  <c r="F47" i="96"/>
  <c r="B13" i="97"/>
  <c r="F45" i="96"/>
  <c r="F128" i="89"/>
  <c r="F6" i="89" l="1"/>
  <c r="E158" i="100"/>
  <c r="O25" i="38"/>
  <c r="B15" i="97"/>
  <c r="Z48" i="100"/>
  <c r="N28" i="38"/>
  <c r="Y51" i="100"/>
  <c r="M28" i="38"/>
  <c r="X51" i="100"/>
  <c r="L28" i="38"/>
  <c r="W51" i="100"/>
  <c r="K28" i="38"/>
  <c r="V51" i="100"/>
  <c r="J28" i="38"/>
  <c r="U51" i="100"/>
  <c r="P52" i="100"/>
  <c r="O65" i="100"/>
  <c r="Z52" i="100" s="1"/>
  <c r="O40" i="100"/>
  <c r="Z27" i="100" s="1"/>
  <c r="O95" i="38"/>
  <c r="O92" i="38"/>
  <c r="O29" i="38"/>
  <c r="E31" i="38"/>
  <c r="O31" i="38" s="1"/>
  <c r="P21" i="100"/>
  <c r="S19" i="100"/>
  <c r="T19" i="100"/>
  <c r="R19" i="100"/>
  <c r="Q19" i="100"/>
  <c r="E51" i="100"/>
  <c r="E28" i="38"/>
  <c r="G51" i="100"/>
  <c r="R51" i="100" s="1"/>
  <c r="G28" i="38"/>
  <c r="I51" i="100"/>
  <c r="T51" i="100" s="1"/>
  <c r="I28" i="38"/>
  <c r="F51" i="100"/>
  <c r="Q51" i="100" s="1"/>
  <c r="F28" i="38"/>
  <c r="H51" i="100"/>
  <c r="S51" i="100" s="1"/>
  <c r="H28" i="38"/>
  <c r="C53" i="96"/>
  <c r="D10" i="100"/>
  <c r="C10" i="100"/>
  <c r="F53" i="96"/>
  <c r="H63" i="100"/>
  <c r="S50" i="100" s="1"/>
  <c r="E77" i="38"/>
  <c r="F77" i="38"/>
  <c r="G77" i="38"/>
  <c r="I63" i="100"/>
  <c r="T50" i="100" s="1"/>
  <c r="E63" i="100"/>
  <c r="F91" i="38"/>
  <c r="G91" i="38"/>
  <c r="G63" i="100" s="1"/>
  <c r="R50" i="100" s="1"/>
  <c r="D16" i="97"/>
  <c r="E10" i="100" s="1"/>
  <c r="D90" i="38"/>
  <c r="D76" i="38"/>
  <c r="F5" i="89" l="1"/>
  <c r="N76" i="38"/>
  <c r="N37" i="100" s="1"/>
  <c r="Y24" i="100" s="1"/>
  <c r="P50" i="100"/>
  <c r="P51" i="100"/>
  <c r="O51" i="100"/>
  <c r="Z51" i="100" s="1"/>
  <c r="O91" i="38"/>
  <c r="F51" i="96" s="1"/>
  <c r="O77" i="38"/>
  <c r="C51" i="96" s="1"/>
  <c r="L76" i="38"/>
  <c r="M76" i="38"/>
  <c r="J76" i="38"/>
  <c r="K76" i="38"/>
  <c r="J90" i="38"/>
  <c r="K90" i="38"/>
  <c r="N90" i="38"/>
  <c r="M90" i="38"/>
  <c r="L90" i="38"/>
  <c r="O28" i="38"/>
  <c r="F63" i="100"/>
  <c r="Q50" i="100" s="1"/>
  <c r="H90" i="38"/>
  <c r="H62" i="100" s="1"/>
  <c r="S49" i="100" s="1"/>
  <c r="I90" i="38"/>
  <c r="I62" i="100" s="1"/>
  <c r="T49" i="100" s="1"/>
  <c r="E38" i="100"/>
  <c r="H76" i="38"/>
  <c r="H37" i="100" s="1"/>
  <c r="I76" i="38"/>
  <c r="I37" i="100" s="1"/>
  <c r="G27" i="38"/>
  <c r="G38" i="100"/>
  <c r="R25" i="100" s="1"/>
  <c r="H27" i="38"/>
  <c r="H38" i="100"/>
  <c r="S25" i="100" s="1"/>
  <c r="F27" i="38"/>
  <c r="F38" i="100"/>
  <c r="Q25" i="100" s="1"/>
  <c r="I27" i="38"/>
  <c r="I38" i="100"/>
  <c r="T25" i="100" s="1"/>
  <c r="C52" i="96"/>
  <c r="F90" i="38"/>
  <c r="F62" i="100" s="1"/>
  <c r="Q49" i="100" s="1"/>
  <c r="G90" i="38"/>
  <c r="G62" i="100" s="1"/>
  <c r="R49" i="100" s="1"/>
  <c r="E90" i="38"/>
  <c r="E76" i="38"/>
  <c r="F76" i="38"/>
  <c r="F37" i="100" s="1"/>
  <c r="G76" i="38"/>
  <c r="G37" i="100" s="1"/>
  <c r="E27" i="38"/>
  <c r="F52" i="96"/>
  <c r="B18" i="97"/>
  <c r="N62" i="100" l="1"/>
  <c r="Y49" i="100" s="1"/>
  <c r="M62" i="100"/>
  <c r="X49" i="100" s="1"/>
  <c r="L62" i="100"/>
  <c r="W49" i="100" s="1"/>
  <c r="K62" i="100"/>
  <c r="V49" i="100" s="1"/>
  <c r="J62" i="100"/>
  <c r="U49" i="100" s="1"/>
  <c r="M37" i="100"/>
  <c r="X24" i="100" s="1"/>
  <c r="L37" i="100"/>
  <c r="W24" i="100" s="1"/>
  <c r="K37" i="100"/>
  <c r="V24" i="100" s="1"/>
  <c r="J37" i="100"/>
  <c r="U24" i="100" s="1"/>
  <c r="P25" i="100"/>
  <c r="O38" i="100"/>
  <c r="Z25" i="100" s="1"/>
  <c r="O63" i="100"/>
  <c r="Z50" i="100" s="1"/>
  <c r="O27" i="38"/>
  <c r="M26" i="38"/>
  <c r="L26" i="38"/>
  <c r="N26" i="38"/>
  <c r="O90" i="38"/>
  <c r="B16" i="97" s="1"/>
  <c r="O76" i="38"/>
  <c r="K26" i="38"/>
  <c r="J26" i="38"/>
  <c r="E62" i="100"/>
  <c r="E37" i="100"/>
  <c r="S24" i="100"/>
  <c r="T24" i="100"/>
  <c r="Q24" i="100"/>
  <c r="R24" i="100"/>
  <c r="P27" i="100"/>
  <c r="I26" i="38"/>
  <c r="E26" i="38"/>
  <c r="G26" i="38"/>
  <c r="F26" i="38"/>
  <c r="H26" i="38"/>
  <c r="P49" i="100" l="1"/>
  <c r="O62" i="100"/>
  <c r="Z49" i="100" s="1"/>
  <c r="P24" i="100"/>
  <c r="O37" i="100"/>
  <c r="Z24" i="100" s="1"/>
  <c r="O26" i="38"/>
  <c r="C50" i="96"/>
  <c r="F50" i="96"/>
  <c r="F26" i="84"/>
  <c r="D31" i="97" l="1"/>
  <c r="F34" i="84"/>
  <c r="F14" i="84"/>
  <c r="F21" i="84" s="1"/>
  <c r="F92" i="83" l="1"/>
  <c r="F97" i="83" s="1"/>
  <c r="F109" i="83" l="1"/>
  <c r="F101" i="83"/>
  <c r="C6" i="100" s="1"/>
  <c r="D72" i="38"/>
  <c r="C72" i="38"/>
  <c r="F103" i="83"/>
  <c r="H10" i="41"/>
  <c r="H20" i="41" s="1"/>
  <c r="C20" i="41"/>
  <c r="D20" i="41"/>
  <c r="E20" i="41"/>
  <c r="F20" i="41"/>
  <c r="G20" i="41"/>
  <c r="H33" i="100" l="1"/>
  <c r="I33" i="100"/>
  <c r="I20" i="100"/>
  <c r="K20" i="100"/>
  <c r="N20" i="100"/>
  <c r="M20" i="100"/>
  <c r="L20" i="100"/>
  <c r="J20" i="100"/>
  <c r="J33" i="100"/>
  <c r="K33" i="100"/>
  <c r="L33" i="100"/>
  <c r="M33" i="100"/>
  <c r="N33" i="100"/>
  <c r="G72" i="38"/>
  <c r="H20" i="100"/>
  <c r="F72" i="38"/>
  <c r="G20" i="100"/>
  <c r="E72" i="38"/>
  <c r="I72" i="38"/>
  <c r="F20" i="100"/>
  <c r="H72" i="38"/>
  <c r="E20" i="100"/>
  <c r="L72" i="38"/>
  <c r="N72" i="38"/>
  <c r="M72" i="38"/>
  <c r="K72" i="38"/>
  <c r="J72" i="38"/>
  <c r="G33" i="100"/>
  <c r="F33" i="100"/>
  <c r="E33" i="100"/>
  <c r="F115" i="83"/>
  <c r="F113" i="83"/>
  <c r="F42" i="38"/>
  <c r="F46" i="38" s="1"/>
  <c r="G42" i="38"/>
  <c r="G46" i="38" s="1"/>
  <c r="E42" i="38"/>
  <c r="E46" i="38" s="1"/>
  <c r="O20" i="100" l="1"/>
  <c r="O72" i="38"/>
  <c r="O46" i="38"/>
  <c r="O33" i="100"/>
  <c r="O41" i="100" s="1"/>
  <c r="C78" i="100" s="1"/>
  <c r="W20" i="100"/>
  <c r="V20" i="100"/>
  <c r="X20" i="100"/>
  <c r="Y20" i="100"/>
  <c r="U20" i="100"/>
  <c r="D88" i="38"/>
  <c r="O42" i="38"/>
  <c r="P20" i="100"/>
  <c r="S20" i="100"/>
  <c r="T20" i="100"/>
  <c r="R20" i="100"/>
  <c r="Q20" i="100"/>
  <c r="D14" i="97"/>
  <c r="E8" i="100" s="1"/>
  <c r="D8" i="100"/>
  <c r="Z20" i="100" l="1"/>
  <c r="O28" i="100"/>
  <c r="C77" i="100" s="1"/>
  <c r="D6" i="100"/>
  <c r="C46" i="96" l="1"/>
  <c r="C39" i="96" s="1"/>
  <c r="C71" i="100" s="1"/>
  <c r="C86" i="38"/>
  <c r="D12" i="97"/>
  <c r="D86" i="38"/>
  <c r="L45" i="100" l="1"/>
  <c r="M45" i="100"/>
  <c r="N45" i="100"/>
  <c r="I58" i="100"/>
  <c r="H58" i="100"/>
  <c r="M58" i="100"/>
  <c r="L58" i="100"/>
  <c r="K58" i="100"/>
  <c r="J58" i="100"/>
  <c r="N58" i="100"/>
  <c r="K45" i="100"/>
  <c r="J45" i="100"/>
  <c r="F45" i="100"/>
  <c r="I45" i="100"/>
  <c r="H45" i="100"/>
  <c r="G45" i="100"/>
  <c r="E45" i="100"/>
  <c r="F86" i="38"/>
  <c r="E86" i="38"/>
  <c r="G86" i="38"/>
  <c r="L86" i="38"/>
  <c r="N86" i="38"/>
  <c r="M86" i="38"/>
  <c r="J86" i="38"/>
  <c r="K86" i="38"/>
  <c r="H86" i="38"/>
  <c r="I86" i="38"/>
  <c r="E58" i="100"/>
  <c r="G58" i="100"/>
  <c r="F58" i="100"/>
  <c r="D20" i="97"/>
  <c r="C89" i="100" s="1"/>
  <c r="E6" i="100"/>
  <c r="O45" i="100" l="1"/>
  <c r="K22" i="38"/>
  <c r="K14" i="38" s="1"/>
  <c r="K16" i="38" s="1"/>
  <c r="V45" i="100"/>
  <c r="J22" i="38"/>
  <c r="J14" i="38" s="1"/>
  <c r="J16" i="38" s="1"/>
  <c r="U45" i="100"/>
  <c r="M22" i="38"/>
  <c r="X45" i="100"/>
  <c r="N22" i="38"/>
  <c r="Y45" i="100"/>
  <c r="O58" i="100"/>
  <c r="L22" i="38"/>
  <c r="W45" i="100"/>
  <c r="O86" i="38"/>
  <c r="T45" i="100"/>
  <c r="P45" i="100"/>
  <c r="R45" i="100"/>
  <c r="S45" i="100"/>
  <c r="Q45" i="100"/>
  <c r="C88" i="100"/>
  <c r="G22" i="38"/>
  <c r="H22" i="38"/>
  <c r="I22" i="38"/>
  <c r="F22" i="38"/>
  <c r="L32" i="38" l="1"/>
  <c r="L45" i="38" s="1"/>
  <c r="L47" i="38" s="1"/>
  <c r="L14" i="38"/>
  <c r="N32" i="38"/>
  <c r="N45" i="38" s="1"/>
  <c r="N47" i="38" s="1"/>
  <c r="N14" i="38"/>
  <c r="M32" i="38"/>
  <c r="M45" i="38" s="1"/>
  <c r="M47" i="38" s="1"/>
  <c r="M14" i="38"/>
  <c r="O66" i="100"/>
  <c r="C82" i="100" s="1"/>
  <c r="Z45" i="100"/>
  <c r="K32" i="38"/>
  <c r="K45" i="38" s="1"/>
  <c r="K47" i="38" s="1"/>
  <c r="J32" i="38"/>
  <c r="J45" i="38" s="1"/>
  <c r="J47" i="38" s="1"/>
  <c r="O53" i="100"/>
  <c r="C81" i="100" s="1"/>
  <c r="F46" i="96"/>
  <c r="B12" i="97"/>
  <c r="B20" i="97" s="1"/>
  <c r="C72" i="100" s="1"/>
  <c r="E22" i="38"/>
  <c r="O22" i="38" s="1"/>
  <c r="F39" i="96" l="1"/>
  <c r="F40" i="96" s="1"/>
  <c r="F41" i="96" s="1"/>
  <c r="H14" i="38" l="1"/>
  <c r="H16" i="38" s="1"/>
  <c r="H32" i="38"/>
  <c r="H45" i="38" s="1"/>
  <c r="H47" i="38" s="1"/>
  <c r="I14" i="38" l="1"/>
  <c r="I16" i="38" s="1"/>
  <c r="I32" i="38"/>
  <c r="I45" i="38" s="1"/>
  <c r="I47" i="38" s="1"/>
  <c r="F14" i="38"/>
  <c r="F16" i="38" s="1"/>
  <c r="F32" i="38"/>
  <c r="F45" i="38" s="1"/>
  <c r="F47" i="38" s="1"/>
  <c r="G14" i="38"/>
  <c r="G16" i="38" s="1"/>
  <c r="G32" i="38"/>
  <c r="G45" i="38" s="1"/>
  <c r="G47" i="38" s="1"/>
  <c r="O32" i="38"/>
  <c r="E14" i="38"/>
  <c r="E32" i="38"/>
  <c r="E45" i="38" s="1"/>
  <c r="O14" i="38" l="1"/>
  <c r="O16" i="38" s="1"/>
  <c r="O45" i="38"/>
  <c r="O47" i="38" s="1"/>
  <c r="E9" i="38" s="1"/>
  <c r="F42" i="96" s="1"/>
  <c r="E112" i="38"/>
  <c r="E16" i="38"/>
  <c r="E108" i="38" s="1"/>
  <c r="F108" i="38" s="1"/>
  <c r="E47" i="38"/>
  <c r="E8" i="38" l="1"/>
  <c r="E11" i="38" s="1"/>
  <c r="F113" i="38"/>
  <c r="F115" i="38" s="1"/>
  <c r="F111" i="38"/>
  <c r="F109" i="38"/>
  <c r="G108" i="38"/>
  <c r="E113" i="38"/>
  <c r="E115" i="38" s="1"/>
  <c r="E111" i="38"/>
  <c r="E109" i="38"/>
  <c r="E110" i="38" s="1"/>
  <c r="G113" i="38" l="1"/>
  <c r="G115" i="38" s="1"/>
  <c r="G111" i="38"/>
  <c r="G109" i="38"/>
  <c r="H108" i="38"/>
  <c r="F110" i="38"/>
  <c r="G110" i="38" l="1"/>
  <c r="H113" i="38"/>
  <c r="H115" i="38" s="1"/>
  <c r="H111" i="38"/>
  <c r="H109" i="38"/>
  <c r="I108" i="38"/>
  <c r="J108" i="38" l="1"/>
  <c r="J113" i="38" s="1"/>
  <c r="J115" i="38" s="1"/>
  <c r="H110" i="38"/>
  <c r="I113" i="38"/>
  <c r="I115" i="38" s="1"/>
  <c r="I109" i="38"/>
  <c r="I111" i="38"/>
  <c r="J109" i="38" l="1"/>
  <c r="K108" i="38"/>
  <c r="J111" i="38"/>
  <c r="I110" i="38"/>
  <c r="K111" i="38" l="1"/>
  <c r="L108" i="38"/>
  <c r="M108" i="38" s="1"/>
  <c r="N108" i="38" s="1"/>
  <c r="K113" i="38"/>
  <c r="K115" i="38" s="1"/>
  <c r="K109" i="38"/>
  <c r="J110" i="38"/>
  <c r="N113" i="38" l="1"/>
  <c r="N115" i="38" s="1"/>
  <c r="N111" i="38"/>
  <c r="N109" i="38"/>
  <c r="M113" i="38"/>
  <c r="M115" i="38" s="1"/>
  <c r="M111" i="38"/>
  <c r="M109" i="38"/>
  <c r="L113" i="38"/>
  <c r="L115" i="38" s="1"/>
  <c r="L111" i="38"/>
  <c r="L109" i="38"/>
  <c r="K110" i="38"/>
  <c r="L110" i="38" l="1"/>
  <c r="M110" i="38" s="1"/>
  <c r="N110" i="38" s="1"/>
  <c r="O115" i="38" l="1"/>
  <c r="E10"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tc={6345AF59-2DFA-402D-84D8-3B62BA4EEB4C}</author>
  </authors>
  <commentList>
    <comment ref="A5" authorId="0" shapeId="0" xr:uid="{6345AF59-2DFA-402D-84D8-3B62BA4EEB4C}">
      <text>
        <t>[Threaded comment]
Your version of Excel allows you to read this threaded comment; however, any edits to it will get removed if the file is opened in a newer version of Excel. Learn more: https://go.microsoft.com/fwlink/?linkid=870924
Comment:
    This is best used to highlight SnS that is going away with a subscription renewal or a vSphere subscription that is being converted to a VCF subscription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tc={748E2844-CB79-4690-9BBE-C39E2DE1E6C0}</author>
  </authors>
  <commentList>
    <comment ref="I106" authorId="0" shapeId="0" xr:uid="{748E2844-CB79-4690-9BBE-C39E2DE1E6C0}">
      <text>
        <t>[Threaded comment]
Your version of Excel allows you to read this threaded comment; however, any edits to it will get removed if the file is opened in a newer version of Excel. Learn more: https://go.microsoft.com/fwlink/?linkid=870924
Comment:
    Note to developers - can you include this as a clickable hyperlink to "Coveware" in the sourcing and comments field?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tc={31599C82-D7EB-4BAA-BC8E-910F0AA79398}</author>
    <author>tc={363262EF-4794-40B3-AEEA-E1ADBE5E5CD8}</author>
    <author>tc={B6DDE279-4F18-4E90-9C1E-BA187A99A859}</author>
    <author>tc={AB3817F9-5D55-429B-9669-C3C532F2685C}</author>
    <author>tc={1C979616-D7C1-4340-A29B-BF7016A602BE}</author>
    <author>tc={C30C341B-EDCF-4D74-ADFD-060897395C1D}</author>
    <author>tc={CC1EAD2D-CA08-4E40-8725-977BF540173D}</author>
    <author>tc={9818FD13-2537-4432-8E5F-FFB023E68D3E}</author>
    <author>tc={B725516F-05C6-439C-8041-0F1B08EFE821}</author>
    <author>tc={B2573894-9DF7-4B8B-A9F9-002247EE3312}</author>
  </authors>
  <commentList>
    <comment ref="J7" authorId="0" shapeId="0" xr:uid="{31599C82-D7EB-4BAA-BC8E-910F0AA79398}">
      <text>
        <t xml:space="preserve">[Threaded comment]
Your version of Excel allows you to read this threaded comment; however, any edits to it will get removed if the file is opened in a newer version of Excel. Learn more: https://go.microsoft.com/fwlink/?linkid=870924
Comment:
    Input “WACC + company name + gurufocus” into your preferred search engine. This will pull the current WACC for your company if they are publicly held from the gurufocus.com website, as this is calculated based on public company 10K filings. Otherwise, WACC can be estimated for private  companies or companies that don't file 10-Ks by modeling via a similar sized and similar industry peer.
</t>
      </text>
    </comment>
    <comment ref="J8" authorId="1" shapeId="0" xr:uid="{363262EF-4794-40B3-AEEA-E1ADBE5E5CD8}">
      <text>
        <t>[Threaded comment]
Your version of Excel allows you to read this threaded comment; however, any edits to it will get removed if the file is opened in a newer version of Excel. Learn more: https://go.microsoft.com/fwlink/?linkid=870924
Comment:
    Please note that growth is applied in the results screens and not in the benefit objects in the benefits calculations screen.</t>
      </text>
    </comment>
    <comment ref="J9" authorId="2" shapeId="0" xr:uid="{B6DDE279-4F18-4E90-9C1E-BA187A99A859}">
      <text>
        <t>[Threaded comment]
Your version of Excel allows you to read this threaded comment; however, any edits to it will get removed if the file is opened in a newer version of Excel. Learn more: https://go.microsoft.com/fwlink/?linkid=870924
Comment:
    Based on 10 year average from 2014-2023 per https://www.macrotrends.net/global-metrics/countries/WLD/world/inflation-rate-cpi</t>
      </text>
    </comment>
    <comment ref="G34" authorId="3" shapeId="0" xr:uid="{AB3817F9-5D55-429B-9669-C3C532F2685C}">
      <text>
        <t>[Threaded comment]
Your version of Excel allows you to read this threaded comment; however, any edits to it will get removed if the file is opened in a newer version of Excel. Learn more: https://go.microsoft.com/fwlink/?linkid=870924
Comment:
    Estimated VCF discount % feeds a necessary value into the Competitive TCO Comparison model. This value should align with the investment dollars entered in the Estimated Investment &gt; Subscription fields that follow.</t>
      </text>
    </comment>
    <comment ref="A37" authorId="4" shapeId="0" xr:uid="{1C979616-D7C1-4340-A29B-BF7016A602BE}">
      <text>
        <t>[Threaded comment]
Your version of Excel allows you to read this threaded comment; however, any edits to it will get removed if the file is opened in a newer version of Excel. Learn more: https://go.microsoft.com/fwlink/?linkid=870924
Comment:
    Use this input row to input the total subscription across all VMware by Broadcom products, including advanced services (e.g., Avi, vDefend, etc.) and estimated growth.</t>
      </text>
    </comment>
    <comment ref="A59" authorId="5" shapeId="0" xr:uid="{C30C341B-EDCF-4D74-ADFD-060897395C1D}">
      <text>
        <t>[Threaded comment]
Your version of Excel allows you to read this threaded comment; however, any edits to it will get removed if the file is opened in a newer version of Excel. Learn more: https://go.microsoft.com/fwlink/?linkid=870924
Comment:
    Migration only applied to cost take out of competitive data services manager or custom software takeout benefit when applicable</t>
      </text>
    </comment>
    <comment ref="A62" authorId="6" shapeId="0" xr:uid="{CC1EAD2D-CA08-4E40-8725-977BF540173D}">
      <text>
        <t>[Threaded comment]
Your version of Excel allows you to read this threaded comment; however, any edits to it will get removed if the file is opened in a newer version of Excel. Learn more: https://go.microsoft.com/fwlink/?linkid=870924
Comment:
    Support level changes with execution of new contract</t>
      </text>
    </comment>
    <comment ref="A65" authorId="7" shapeId="0" xr:uid="{9818FD13-2537-4432-8E5F-FFB023E68D3E}">
      <text>
        <t>[Threaded comment]
Your version of Excel allows you to read this threaded comment; however, any edits to it will get removed if the file is opened in a newer version of Excel. Learn more: https://go.microsoft.com/fwlink/?linkid=870924
Comment:
    Future state OpEx impact is annual</t>
      </text>
    </comment>
    <comment ref="A66" authorId="8" shapeId="0" xr:uid="{B725516F-05C6-439C-8041-0F1B08EFE821}">
      <text>
        <t>[Threaded comment]
Your version of Excel allows you to read this threaded comment; however, any edits to it will get removed if the file is opened in a newer version of Excel. Learn more: https://go.microsoft.com/fwlink/?linkid=870924
Comment:
    Future state OpEx impact is annual</t>
      </text>
    </comment>
    <comment ref="C83" authorId="9" shapeId="0" xr:uid="{B2573894-9DF7-4B8B-A9F9-002247EE3312}">
      <text>
        <t>[Threaded comment]
Your version of Excel allows you to read this threaded comment; however, any edits to it will get removed if the file is opened in a newer version of Excel. Learn more: https://go.microsoft.com/fwlink/?linkid=870924
Comment:
    All values based on analysis term (3 or 5 years) except Revenue Impact and Risk Reduction.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tc={C14ACCA3-0A5E-417E-B11C-136E3DF445D4}</author>
  </authors>
  <commentList>
    <comment ref="A20" authorId="0" shapeId="0" xr:uid="{C14ACCA3-0A5E-417E-B11C-136E3DF445D4}">
      <text>
        <t>[Threaded comment]
Your version of Excel allows you to read this threaded comment; however, any edits to it will get removed if the file is opened in a newer version of Excel. Learn more: https://go.microsoft.com/fwlink/?linkid=870924
Comment:
    The weighted average carbon sequestered by a medium growth coniferous or deciduous tree, planted in an urban setting and allowed to grow for 10 years, is 36.4 lbs of carbon per tree.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<sst xmlns="http://schemas.openxmlformats.org/spreadsheetml/2006/main" count="1842" uniqueCount="845">
  <si>
    <t>n/a</t>
  </si>
  <si>
    <t xml:space="preserve"> </t>
  </si>
  <si>
    <t>Sourcing &amp; Comments</t>
  </si>
  <si>
    <t>Government and Non-Profit</t>
  </si>
  <si>
    <t>Other</t>
  </si>
  <si>
    <t>Number of VMs</t>
  </si>
  <si>
    <t>Placeholder estimate</t>
  </si>
  <si>
    <t>Likely</t>
  </si>
  <si>
    <t>Calculation</t>
  </si>
  <si>
    <t>Year 1</t>
  </si>
  <si>
    <t>Year 2</t>
  </si>
  <si>
    <t>Year 3</t>
  </si>
  <si>
    <t>Current State</t>
  </si>
  <si>
    <t>Future State</t>
  </si>
  <si>
    <t>Fully burdened IT labor cost per hour</t>
  </si>
  <si>
    <t>Anticipated percent productivity gain</t>
  </si>
  <si>
    <t>Multi-year Impact (likely)</t>
  </si>
  <si>
    <t>Total</t>
  </si>
  <si>
    <t>Subscription</t>
  </si>
  <si>
    <t>Maintenance (SnS)</t>
  </si>
  <si>
    <t>Professional Services</t>
  </si>
  <si>
    <t>Education / Training</t>
  </si>
  <si>
    <t>Success360 / TAM</t>
  </si>
  <si>
    <t>Organizational Change Management (Consulting)</t>
  </si>
  <si>
    <t>Organizational Change Management (Internal)</t>
  </si>
  <si>
    <t>Total Investment</t>
  </si>
  <si>
    <t>Key Financial Metrics</t>
  </si>
  <si>
    <t>Weighted Average Cost of Capital</t>
  </si>
  <si>
    <t>Payback</t>
  </si>
  <si>
    <t>Gross Benefits</t>
  </si>
  <si>
    <t>Labor Productivity</t>
  </si>
  <si>
    <t>Net Benefits</t>
  </si>
  <si>
    <t>Net Benefit</t>
  </si>
  <si>
    <t>Total Gross Benefits</t>
  </si>
  <si>
    <r>
      <rPr>
        <b/>
        <sz val="10"/>
        <rFont val="Calibri"/>
        <family val="2"/>
      </rPr>
      <t>VMware Disclaimer:</t>
    </r>
    <r>
      <rPr>
        <sz val="10"/>
        <rFont val="Calibri"/>
        <family val="2"/>
      </rPr>
      <t xml:space="preserve"> Although great care has been and will be taken to ensure the accuracy and completeness of this model. VMware will be unable to accept any legal responsibility for any actions taken based on the information contained herein and VMware makes no warranties of any kind.</t>
    </r>
  </si>
  <si>
    <t>Service Request (SR) Time Reduction</t>
  </si>
  <si>
    <t>Server Admin Productivity</t>
  </si>
  <si>
    <t>Network Admin (provisioning/troubleshooting) Productivity</t>
  </si>
  <si>
    <t>Storage Admin Productivity</t>
  </si>
  <si>
    <t>Service Delivery (IaaS/Private Cloud) Productivity</t>
  </si>
  <si>
    <t>Compute</t>
  </si>
  <si>
    <t>Storage</t>
  </si>
  <si>
    <t>Number of VM Hosts</t>
  </si>
  <si>
    <t>Other Network Devices (primarily ToRs) as % of Host Cost</t>
  </si>
  <si>
    <t>Average allocated/provisioned storage (GBs) per VM</t>
  </si>
  <si>
    <t>Average purchase cost per current state host</t>
  </si>
  <si>
    <t>Percent of VMs to be decommissioned (including reduction via containerization of applications)</t>
  </si>
  <si>
    <t>Number of VMs on premises</t>
  </si>
  <si>
    <t>Number of vSAN Ready Nodes</t>
  </si>
  <si>
    <t>Number of ESXi Hosts</t>
  </si>
  <si>
    <t>Average compute cost (excludes storage component) per host (vSAN Ready Nodes)</t>
  </si>
  <si>
    <t>Average purchase cost per host (ESXi Hosts)</t>
  </si>
  <si>
    <t>From above</t>
  </si>
  <si>
    <t>Opex per host per year (rack, power, cooling)</t>
  </si>
  <si>
    <t>Total GBs of allocated/provisioned storage to support VMs</t>
  </si>
  <si>
    <t>Usable to Raw Ratio</t>
  </si>
  <si>
    <t>Total Raw Capacity required to support VMs (GB)</t>
  </si>
  <si>
    <t>Other Storage Devices Cost</t>
  </si>
  <si>
    <t xml:space="preserve">From Worksheet </t>
  </si>
  <si>
    <t>Target VM Host Sizing</t>
  </si>
  <si>
    <t>VM Profile</t>
  </si>
  <si>
    <t>Sourcing and Comments</t>
  </si>
  <si>
    <t>Number of VMs (on premises)</t>
  </si>
  <si>
    <t>Total Storage requirement per VM(GB)</t>
  </si>
  <si>
    <t>From Benefits Cost Sheet</t>
  </si>
  <si>
    <t>vCPUs per VM</t>
  </si>
  <si>
    <t>Placeholder Estimate</t>
  </si>
  <si>
    <t>GB RAM per VM</t>
  </si>
  <si>
    <t>vCPU to core ratio</t>
  </si>
  <si>
    <t>On Premises VM Host Profile</t>
  </si>
  <si>
    <t>Number of Hosts</t>
  </si>
  <si>
    <t>CPUs (Sockets) per host</t>
  </si>
  <si>
    <t>CPU Utilization</t>
  </si>
  <si>
    <t>RAM Utilization</t>
  </si>
  <si>
    <t>Est. % on prem host reduction</t>
  </si>
  <si>
    <t>Target Host Configuration and Cost</t>
  </si>
  <si>
    <t>Host Configuration (Core Components)</t>
  </si>
  <si>
    <t>Qty Per host</t>
  </si>
  <si>
    <t>Qty Unit</t>
  </si>
  <si>
    <t>CPUs (Sockets)</t>
  </si>
  <si>
    <t>GB RAM</t>
  </si>
  <si>
    <t>64 GB RAM</t>
  </si>
  <si>
    <t>Disk (GB)</t>
  </si>
  <si>
    <t>Additional Components</t>
  </si>
  <si>
    <t>Peripherals (SFPs, Cables, Adapters, SAS/SATA Controllers, Cage, etc.)</t>
  </si>
  <si>
    <t>set</t>
  </si>
  <si>
    <t>Power Supply (W)</t>
  </si>
  <si>
    <t>power supply</t>
  </si>
  <si>
    <t>Others</t>
  </si>
  <si>
    <t>Enter other costs if any</t>
  </si>
  <si>
    <t>Total Cost</t>
  </si>
  <si>
    <t>Discount</t>
  </si>
  <si>
    <t>Net Cost</t>
  </si>
  <si>
    <t>From Inputs</t>
  </si>
  <si>
    <t>Average fully loaded storage cost per GB w/ vSAN</t>
  </si>
  <si>
    <t>User Defined</t>
  </si>
  <si>
    <t>Power &amp; Cooling Requirement</t>
  </si>
  <si>
    <t>24 x 7 Operations for DC HW (365*24)</t>
  </si>
  <si>
    <t>Assumes 365 days x 24 hours per year</t>
  </si>
  <si>
    <t>Operational Power rating per Physical Host (kW)</t>
  </si>
  <si>
    <t>Burdened rate for additional Network and Storage Devices</t>
  </si>
  <si>
    <t>Power Usage Effectiveness- On-Premise DC</t>
  </si>
  <si>
    <t>Resultant annual power consumption per physical host (KWh)</t>
  </si>
  <si>
    <t xml:space="preserve">Electricity cost per kWh </t>
  </si>
  <si>
    <t>https://www.globalpetrolprices.com/electricity_prices/#hl48</t>
  </si>
  <si>
    <t>Annual Power &amp; Cooling Cost Per device</t>
  </si>
  <si>
    <t>Data Center  Space Requirement</t>
  </si>
  <si>
    <t>Unit for data center space/area calculations</t>
  </si>
  <si>
    <t>Sq. Feet</t>
  </si>
  <si>
    <t>Based on Region</t>
  </si>
  <si>
    <t>Sq. Meter</t>
  </si>
  <si>
    <t>Industry average</t>
  </si>
  <si>
    <t>Rack Units (RU) per 19" Rack</t>
  </si>
  <si>
    <t>Conversion rate (sq ft to sq m)</t>
  </si>
  <si>
    <t>Percent of rack that can be utilized by host servers</t>
  </si>
  <si>
    <t>Rack Units (RU) per Physical Host</t>
  </si>
  <si>
    <t>Annual Data Center Space Cost per Device</t>
  </si>
  <si>
    <t>Total Opex per device per year</t>
  </si>
  <si>
    <t>Average number of SRs per week</t>
  </si>
  <si>
    <t>Calculated number of SRs per year</t>
  </si>
  <si>
    <t>Average number of days to resolve an SR (weighted average of severity levels)</t>
  </si>
  <si>
    <t>Average number of hours per day per open SR (weighted average of severity levels)</t>
  </si>
  <si>
    <t>Number of Server Administrators</t>
  </si>
  <si>
    <t>Average annual fully burdened cost per server admin FTE</t>
  </si>
  <si>
    <t>Number of network administrator personnel</t>
  </si>
  <si>
    <t>Average annual fully burdened cost per network administrator FTE</t>
  </si>
  <si>
    <t>Anticipated productivity gain</t>
  </si>
  <si>
    <t>Number of storage administrator personnel</t>
  </si>
  <si>
    <t>Average annual fully burdened cost per storage administrator FTE</t>
  </si>
  <si>
    <t>Average annual fully burdened cost per IT service delivery FTE</t>
  </si>
  <si>
    <t>].\</t>
  </si>
  <si>
    <t xml:space="preserve">License </t>
  </si>
  <si>
    <t>Monthly cost of delayed customer buying decision</t>
  </si>
  <si>
    <t>EMEA</t>
  </si>
  <si>
    <t>APAC</t>
  </si>
  <si>
    <t>LATAM</t>
  </si>
  <si>
    <t>Labor</t>
  </si>
  <si>
    <t>Banking and Financial Services</t>
  </si>
  <si>
    <t>Education</t>
  </si>
  <si>
    <t>Energy</t>
  </si>
  <si>
    <t>Healthcare Payers</t>
  </si>
  <si>
    <t>Healthcare Providers</t>
  </si>
  <si>
    <t>Hospitality &amp; Travel</t>
  </si>
  <si>
    <t>Information Technology</t>
  </si>
  <si>
    <t>Insurance</t>
  </si>
  <si>
    <t>Manufacturing</t>
  </si>
  <si>
    <t>Manufacturing - High Tech</t>
  </si>
  <si>
    <t>Pharmaceuticals, Life Sciences &amp; Medical Products</t>
  </si>
  <si>
    <t>Retail and Wholesale</t>
  </si>
  <si>
    <t>Software</t>
  </si>
  <si>
    <t>Telecommunications</t>
  </si>
  <si>
    <t>Transportation</t>
  </si>
  <si>
    <t>Utilities</t>
  </si>
  <si>
    <t>Cross Industry</t>
  </si>
  <si>
    <t>Selected</t>
  </si>
  <si>
    <t>from Natural Resources: Mining, Oil, and Gas</t>
  </si>
  <si>
    <t>from Gov: Non-defense, state, local</t>
  </si>
  <si>
    <t>from IT Consulting</t>
  </si>
  <si>
    <t>Burden rate (benefits and other employee costs)</t>
  </si>
  <si>
    <t>papayaglobal.com</t>
  </si>
  <si>
    <t>Job function in report</t>
  </si>
  <si>
    <t>Infra, NW, &amp; Telco</t>
  </si>
  <si>
    <t>IT Role factor as a % of average IT salary - EMEA</t>
  </si>
  <si>
    <t>IT Role factor as a % of average IT salary - LATAM</t>
  </si>
  <si>
    <t>IT Role factor as a % of average IT salary - APAC</t>
  </si>
  <si>
    <t>Source</t>
  </si>
  <si>
    <t>Total Cores per Host</t>
  </si>
  <si>
    <t>RAM (GB)/host server</t>
  </si>
  <si>
    <t>Note: All pricing herein is an estimation and not an approved quote or formal proposal.</t>
  </si>
  <si>
    <t>Capacity Disk Size (GB)</t>
  </si>
  <si>
    <t xml:space="preserve">Estimated Investment </t>
  </si>
  <si>
    <t>Upfront storage purchase cost per GB with vSAN</t>
  </si>
  <si>
    <t>Upfront storage purchase cost per GB without vSAN</t>
  </si>
  <si>
    <t>Operation Reserve Percentage</t>
  </si>
  <si>
    <t>RAID Overhead</t>
  </si>
  <si>
    <t>Compression Ratio</t>
  </si>
  <si>
    <t>Total Raw Capacity available per host (TiB)</t>
  </si>
  <si>
    <t>Non-vSAN/vSAN Ready Nodes</t>
  </si>
  <si>
    <t>Disk Size</t>
  </si>
  <si>
    <t>Storage Cost Calculation</t>
  </si>
  <si>
    <t>Usable to Raw Ratio Calculation</t>
  </si>
  <si>
    <t>Private Cloud Maturity &amp; Optimization (PCMO) Tool</t>
  </si>
  <si>
    <t>Network</t>
  </si>
  <si>
    <t>Facilities</t>
  </si>
  <si>
    <t>Support</t>
  </si>
  <si>
    <t>Migration</t>
  </si>
  <si>
    <t>Reskilling</t>
  </si>
  <si>
    <t>From inputs</t>
  </si>
  <si>
    <t>Percent of Hosts that are vSAN ready nodes</t>
  </si>
  <si>
    <t>Average purchase cost per current state vSAN ready node</t>
  </si>
  <si>
    <t>Average purchase cost per current state ESXi host</t>
  </si>
  <si>
    <t>Percent of Hosts that will be vSAN ready nodes</t>
  </si>
  <si>
    <t>Total Future State Host Count</t>
  </si>
  <si>
    <t>Conservative default estimate; The Forrester Total Economic Impact™ Of VMware vRealize Automation (2019) indicated as high as 50% per year</t>
  </si>
  <si>
    <t>Current State Compute Costs &amp; Anticipated Reduction</t>
  </si>
  <si>
    <t>Note: Capacity Disks to be costed in the storage cost worksheet</t>
  </si>
  <si>
    <t>Average compute cost (excludes storage component) per vSAN Ready Node</t>
  </si>
  <si>
    <t>Current State Storage Costs &amp; Anticipated Reduction</t>
  </si>
  <si>
    <t>Placeholder estimate - Includes FC SAN switches and HBA/SFP interconnects</t>
  </si>
  <si>
    <t>This is the server compute cost, embedded storage cost is factored under storage costs</t>
  </si>
  <si>
    <t>Usable to Raw Storage</t>
  </si>
  <si>
    <t xml:space="preserve">Total capacity disks per host                                        </t>
  </si>
  <si>
    <t>FTT1/2/RAID-5/6 configuration with 3 node in a cluster</t>
  </si>
  <si>
    <t>Minimum Capacity Disks per host =4, Maximum Capacity Disks per host=24</t>
  </si>
  <si>
    <t>Cost Per unit (List)</t>
  </si>
  <si>
    <t>Cost of vSAN Ready Node Storage Component</t>
  </si>
  <si>
    <t>Input</t>
  </si>
  <si>
    <t>Data pull</t>
  </si>
  <si>
    <t>Overridable default</t>
  </si>
  <si>
    <t>must be input</t>
  </si>
  <si>
    <t>Can be edited</t>
  </si>
  <si>
    <t>Can't be edited</t>
  </si>
  <si>
    <t>Annual compute hardware support</t>
  </si>
  <si>
    <t>Annual storage hardware support</t>
  </si>
  <si>
    <t>Upfront external storage purchase cost per GB</t>
  </si>
  <si>
    <t>Upfront capacity disk based storage cost per GB</t>
  </si>
  <si>
    <t>Annual network hardware support</t>
  </si>
  <si>
    <t>From  Compute</t>
  </si>
  <si>
    <t>From worksheet below</t>
  </si>
  <si>
    <t>Data ingestion or overridable default</t>
  </si>
  <si>
    <t>Can't be edited if data ingested from collector tool (RV Tools, Live Optics)</t>
  </si>
  <si>
    <t>CapEx</t>
  </si>
  <si>
    <t>OpEx</t>
  </si>
  <si>
    <t>Current State Network (Host Based) Costs &amp; Anticipated Reduction</t>
  </si>
  <si>
    <t>Reduced Power, Cooling, Rack Costs</t>
  </si>
  <si>
    <t>Opex per vSAN Ready Node per year (rack, power, cooling)</t>
  </si>
  <si>
    <t>Number of Hosts (vSAN Ready Nodes &amp; ESXi Hosts)</t>
  </si>
  <si>
    <t>From Compute</t>
  </si>
  <si>
    <t>Totals</t>
  </si>
  <si>
    <t>Assumes 1000 VMs per admin</t>
  </si>
  <si>
    <t>Assumes 300 TBs per admin</t>
  </si>
  <si>
    <t>worksheet</t>
  </si>
  <si>
    <t>Cell Color Legend</t>
  </si>
  <si>
    <t>^^ see error note here ^^</t>
  </si>
  <si>
    <t>Net Cost Per unit</t>
  </si>
  <si>
    <t>Estimated net price/GB = $0.855</t>
  </si>
  <si>
    <t>Additional Discount</t>
  </si>
  <si>
    <t>Average fully burdened IT cost per hour</t>
  </si>
  <si>
    <t>IT Infrastructure/Network FTE</t>
  </si>
  <si>
    <t>IT Employee Costs by Region and Role</t>
  </si>
  <si>
    <r>
      <t xml:space="preserve">Average annual </t>
    </r>
    <r>
      <rPr>
        <b/>
        <u/>
        <sz val="12"/>
        <color theme="1"/>
        <rFont val="Calibri"/>
        <family val="2"/>
      </rPr>
      <t xml:space="preserve">fully burdened </t>
    </r>
    <r>
      <rPr>
        <b/>
        <sz val="12"/>
        <color theme="1"/>
        <rFont val="Calibri"/>
        <family val="2"/>
      </rPr>
      <t>cost per IT Infrastructure/Network FTE</t>
    </r>
  </si>
  <si>
    <t>ROI Output</t>
  </si>
  <si>
    <t>Multi-year Impact Summary</t>
  </si>
  <si>
    <t>Multi-year Impact Detail</t>
  </si>
  <si>
    <t>TAM / SAM / DTSE</t>
  </si>
  <si>
    <t>Payback Calculation</t>
  </si>
  <si>
    <t>Payback estimation calcs</t>
  </si>
  <si>
    <t>Year 4</t>
  </si>
  <si>
    <t>Year 5</t>
  </si>
  <si>
    <t>cumulative net benefit</t>
  </si>
  <si>
    <t>is cumulative positive</t>
  </si>
  <si>
    <t>in which year did cumulative become positive</t>
  </si>
  <si>
    <t>Initial months w/ zero value</t>
  </si>
  <si>
    <t>(1-Amount cum benefit is greater than cum cost / in year benefit) * (months with value)</t>
  </si>
  <si>
    <t>Payback (for year in which cumulative benefit &gt; 0)</t>
  </si>
  <si>
    <t>Placeholder default</t>
  </si>
  <si>
    <t>Calculation below</t>
  </si>
  <si>
    <t>Pull from above</t>
  </si>
  <si>
    <t>Customer Name</t>
  </si>
  <si>
    <t>Analysis Data Industry</t>
  </si>
  <si>
    <t>Analysis Data Region</t>
  </si>
  <si>
    <t>For MediaFly, not part of UI</t>
  </si>
  <si>
    <t>Layout should be aligned with PCMO</t>
  </si>
  <si>
    <t xml:space="preserve">PCMO Get Started Screen </t>
  </si>
  <si>
    <t>red notes</t>
  </si>
  <si>
    <t>comments for MediaFly or internal</t>
  </si>
  <si>
    <t>Host Architecture</t>
  </si>
  <si>
    <t>% Of NSX coverage</t>
  </si>
  <si>
    <t>% of vSAN Coverage</t>
  </si>
  <si>
    <t>TCO Results Overview</t>
  </si>
  <si>
    <t>CURRENT STATE</t>
  </si>
  <si>
    <t>Products</t>
  </si>
  <si>
    <t>License Type</t>
  </si>
  <si>
    <t>SnS related to perpetual or subscription</t>
  </si>
  <si>
    <t>$ Savings over Current</t>
  </si>
  <si>
    <t>% Savings over Current</t>
  </si>
  <si>
    <t>% ROI over Current</t>
  </si>
  <si>
    <t>Number of Data Center HW Load Balancers (existing and planned)</t>
  </si>
  <si>
    <t>Assumes host traffic = 4 Gbps, LB throughput = 20 Gbps and HW LB Traffic = 25%</t>
  </si>
  <si>
    <t>Cost per load balancer</t>
  </si>
  <si>
    <t>Based on estimated net price for F5-BIG-LTM-8900</t>
  </si>
  <si>
    <t>Anticipated number of Data Center load balancers</t>
  </si>
  <si>
    <t xml:space="preserve"> Data Center HW Load Balancers</t>
  </si>
  <si>
    <t>Number of  Hosts</t>
  </si>
  <si>
    <t>Host Traffic (Gbps)</t>
  </si>
  <si>
    <t>LB Throughput (Gbps)</t>
  </si>
  <si>
    <t>HW LB traffic</t>
  </si>
  <si>
    <t>Number of HW Load balancers</t>
  </si>
  <si>
    <t>Yes</t>
  </si>
  <si>
    <t>Number of Data Center HW Firewalls (existing and planned)</t>
  </si>
  <si>
    <t>Assumes host traffic = 4 Gbps, FW throughput = 20 Gbps, HW FW Traffic = 30%, and active-active</t>
  </si>
  <si>
    <t>Cost per firewall</t>
  </si>
  <si>
    <t>Based on estimated net price for PA-5260-DC</t>
  </si>
  <si>
    <t>Anticipated number of Data Center firewalls</t>
  </si>
  <si>
    <t xml:space="preserve"> Data Center HW Firewalls</t>
  </si>
  <si>
    <t>FW Throughput (Gbps)</t>
  </si>
  <si>
    <t>HW FW traffic</t>
  </si>
  <si>
    <t>Number of HW Firewalls</t>
  </si>
  <si>
    <t>VCF Network Add-Ons</t>
  </si>
  <si>
    <t>Firewall</t>
  </si>
  <si>
    <t>Current VMware Annual Investment Elimination</t>
  </si>
  <si>
    <t>Annual VMware Software, Subscription and Services Renewal</t>
  </si>
  <si>
    <t xml:space="preserve"> Please update with the actual stated out year value or similar</t>
  </si>
  <si>
    <t>Anticipated reduction</t>
  </si>
  <si>
    <t>Estimated annual increase</t>
  </si>
  <si>
    <t>Total number of Cores</t>
  </si>
  <si>
    <t>Percent of Cores requiring DSM coverage</t>
  </si>
  <si>
    <t>Average annual cost per core for competitive offerings (management of DB)</t>
  </si>
  <si>
    <t>Assumes full takeout</t>
  </si>
  <si>
    <t>Operational Power rating per Firewall (kW)</t>
  </si>
  <si>
    <t>Operational Power rating per Load balancer (kW)</t>
  </si>
  <si>
    <t>Resultant annual power consumption per firewall (KWh)</t>
  </si>
  <si>
    <t>Resultant annual power consumption per load balancer (KWh)</t>
  </si>
  <si>
    <t>Load balancer</t>
  </si>
  <si>
    <t>VM Host</t>
  </si>
  <si>
    <t>Opex per load balancer per year (rack, power, cooling)</t>
  </si>
  <si>
    <t>Opex per firewalls per year (rack, power, cooling)</t>
  </si>
  <si>
    <t>Number of firewalls</t>
  </si>
  <si>
    <t>Number of load balancers</t>
  </si>
  <si>
    <t>From Network sheet</t>
  </si>
  <si>
    <t>Personnel Productivity with DSM</t>
  </si>
  <si>
    <t>Number of IT Personnel managing DBs</t>
  </si>
  <si>
    <t>Average annual fully burdened cost per DSM FTE</t>
  </si>
  <si>
    <t>Software License Cost Reduction with Data Services Manager (DSM)</t>
  </si>
  <si>
    <t>Expected percent of VMs to migrate over duration of analysis</t>
  </si>
  <si>
    <t>Average hours to migrate a VM (to the cloud or during a HW refresh)</t>
  </si>
  <si>
    <t>Anticipated percent reduction</t>
  </si>
  <si>
    <t>Assumes full migration</t>
  </si>
  <si>
    <t>VMware Benchmark (assumes vSphere only current state)</t>
  </si>
  <si>
    <t>VMware Benchmark (assumes VCF w/ HCX)</t>
  </si>
  <si>
    <t>Number of FTEs (Server, Storage, Network, Service Delivery)</t>
  </si>
  <si>
    <t>Current State Annualized Cost</t>
  </si>
  <si>
    <t>Future State Annualized Cost</t>
  </si>
  <si>
    <t>Annual Training Hours per year</t>
  </si>
  <si>
    <t>Total Training Hours per year</t>
  </si>
  <si>
    <t>From labor</t>
  </si>
  <si>
    <t>Total Training Hours for reskilling</t>
  </si>
  <si>
    <t>Average Training Hours for Reskilling (one time)</t>
  </si>
  <si>
    <t>Calculation based on current-future state coverage for Ops, Automation, vSAN, and NSX</t>
  </si>
  <si>
    <t>One Time Current State Reskilling cost</t>
  </si>
  <si>
    <t>One Time Future State Reskilling cost</t>
  </si>
  <si>
    <t>For MediaFly</t>
  </si>
  <si>
    <t>Internal</t>
  </si>
  <si>
    <t>Time permitting</t>
  </si>
  <si>
    <t>Include Migration Efficiency?</t>
  </si>
  <si>
    <t>(i)</t>
  </si>
  <si>
    <t>Reduced Downtime</t>
  </si>
  <si>
    <t>Estimated uptime</t>
  </si>
  <si>
    <t>Resultant down hours per year</t>
  </si>
  <si>
    <t>Estimated cost per down hour</t>
  </si>
  <si>
    <t>Anticipated percent risk reduction via VMware</t>
  </si>
  <si>
    <t>Annual associated value</t>
  </si>
  <si>
    <t>Potential cost of a security breach (lost revenue, lost productivity, fines, lawsuits, etc.)</t>
  </si>
  <si>
    <t>Calculated annual risk value</t>
  </si>
  <si>
    <t>Reduced Risk (and associated costs) of a Successful Ransomware Attack</t>
  </si>
  <si>
    <t>Annual percent risk of a ransomware attack</t>
  </si>
  <si>
    <t>Include Downtime Reduction?</t>
  </si>
  <si>
    <t>Operating margin</t>
  </si>
  <si>
    <t>Number of employees</t>
  </si>
  <si>
    <t>Rounding</t>
  </si>
  <si>
    <t>Fully Q&amp;A for consistency &amp; errors</t>
  </si>
  <si>
    <t>Reduced Risk of a Significant Security or Data Breach</t>
  </si>
  <si>
    <r>
      <t xml:space="preserve">Average </t>
    </r>
    <r>
      <rPr>
        <b/>
        <u/>
        <sz val="12"/>
        <rFont val="Calibri"/>
        <family val="2"/>
      </rPr>
      <t>global</t>
    </r>
    <r>
      <rPr>
        <b/>
        <sz val="12"/>
        <rFont val="Calibri"/>
        <family val="2"/>
      </rPr>
      <t xml:space="preserve"> total cost of a data breach by industry</t>
    </r>
  </si>
  <si>
    <t>BVA</t>
  </si>
  <si>
    <t>Region Factor (as a % of global) for cost of a data breach</t>
  </si>
  <si>
    <t>NA (based on USA)</t>
  </si>
  <si>
    <t>EMEA (based on non-weighted average of UK, Germany, France, and Middle East)</t>
  </si>
  <si>
    <t>APAC (based on non-weighted average of Japan, India, ASEAN, and Australia)</t>
  </si>
  <si>
    <t>Resultant Value</t>
  </si>
  <si>
    <t>Some Inputs</t>
  </si>
  <si>
    <t>Include Ransomware Reduction?</t>
  </si>
  <si>
    <t>Include Security Breach Reduction?</t>
  </si>
  <si>
    <t>Potential Cost of a Successful Ransomware Attack</t>
  </si>
  <si>
    <t>Hours lost per ransomware Recovery</t>
  </si>
  <si>
    <t>Conservatively assumes 1 week (24 hours x 7 days)</t>
  </si>
  <si>
    <t>Lost Business</t>
  </si>
  <si>
    <t>Revenue loss from system downtime</t>
  </si>
  <si>
    <t>Total profit associated with revenue losses from system downtime</t>
  </si>
  <si>
    <t>Impact on business operations</t>
  </si>
  <si>
    <t>Average cost per hour per employee</t>
  </si>
  <si>
    <t>% of productivity Impact</t>
  </si>
  <si>
    <t>Total Productivity Impact</t>
  </si>
  <si>
    <t>Detection &amp; Escalation</t>
  </si>
  <si>
    <t>Cost of ransomware forensics</t>
  </si>
  <si>
    <t>Number of external forensic specialists involved</t>
  </si>
  <si>
    <t>Estimate based on number of VMs divided by 500</t>
  </si>
  <si>
    <t>Average cost per hour for each forensic specialist</t>
  </si>
  <si>
    <t>Total cost of external forensic specialists' time during downtime</t>
  </si>
  <si>
    <t>Cost of data recovery</t>
  </si>
  <si>
    <t>Number of employees involved</t>
  </si>
  <si>
    <t>Average cost per hour per IT employee</t>
  </si>
  <si>
    <t>Total cost of Data Recovery</t>
  </si>
  <si>
    <t>Post Breach Response</t>
  </si>
  <si>
    <t>Ransomware payments</t>
  </si>
  <si>
    <t>Estimated ransom payment to attackers</t>
  </si>
  <si>
    <r>
      <t xml:space="preserve">Average ransom payment $228,125, Median $36,360 per </t>
    </r>
    <r>
      <rPr>
        <u/>
        <sz val="11"/>
        <color theme="4"/>
        <rFont val="Calibri"/>
        <family val="2"/>
        <scheme val="minor"/>
      </rPr>
      <t>Coveware</t>
    </r>
  </si>
  <si>
    <t>https://www.coveware.com/blog/2022/7/27/fewer-ransomware-victims-pay-as-medium-ransom-falls-in-q2-2022#:~:text=Average%20and%20Median%20Ransom%20Payment%20in%20Q2%202022&amp;text=The%20average%20ransom%20payment%20increased,51%25%20decrease%20from%20Q1%202022.</t>
  </si>
  <si>
    <t>Cost of third-party digital security forensics services</t>
  </si>
  <si>
    <t>Total Ransomware Payments</t>
  </si>
  <si>
    <t>Fines, claims &amp; expenses</t>
  </si>
  <si>
    <t>Regulatory Fines</t>
  </si>
  <si>
    <t>Estimate based on 3% of operating profit</t>
  </si>
  <si>
    <t>https://cybelangel.com/the-true-cost-of-a-ransomware-attack/</t>
  </si>
  <si>
    <t>Other Expenses</t>
  </si>
  <si>
    <t>Estimate based on 0.05% of operating profit</t>
  </si>
  <si>
    <t>Total potential cost of successful ransomware attack</t>
  </si>
  <si>
    <t>Placeholder estimate (see below for detail)</t>
  </si>
  <si>
    <t>Various sources show a range from $200 to $450 per hour (for reference $2,500/day / 8 hr/day = $312.50)</t>
  </si>
  <si>
    <t>Calculation, Includes Help desk and inbound communications, Credit monitoring and identity protection services, Legal expenditures, Product discounts, Regulatory fines</t>
  </si>
  <si>
    <t>Increased Revenue via Velocity of innovation</t>
  </si>
  <si>
    <t>Annual revenue</t>
  </si>
  <si>
    <t>Increase in revenue via accelerated innovation, better collaboration, and/or data locality</t>
  </si>
  <si>
    <t>Estimated incremental revenue</t>
  </si>
  <si>
    <t>Avoided lost Revenue via Improved Application Performance</t>
  </si>
  <si>
    <t>Anticipated percent annual revenue growth via scale of customers and associated applications</t>
  </si>
  <si>
    <t>Estimated annual revenue based on new customer growth</t>
  </si>
  <si>
    <t xml:space="preserve">Percent of annual revenue growth at risk due to current architecture </t>
  </si>
  <si>
    <t>Estimated annual growth revenue at risk</t>
  </si>
  <si>
    <t>Percent reduction in revenue at risk via modernization to improve application scale and performance</t>
  </si>
  <si>
    <t>Estimated lost revenue recovered</t>
  </si>
  <si>
    <t>Include Increased Revenue</t>
  </si>
  <si>
    <t>Include Avoided Lost Revenue</t>
  </si>
  <si>
    <t>Don't use if Government or non-profit</t>
  </si>
  <si>
    <t>Annual percent risk of a breach (including due to use of open source data solutions)</t>
  </si>
  <si>
    <t>Anticipated percent risk reduction of data breach (including due to open source DB  via VMware)</t>
  </si>
  <si>
    <t>Potential cost of a successful ransomware attack</t>
  </si>
  <si>
    <t>Risk Reduction</t>
  </si>
  <si>
    <t>One-time Reskilling</t>
  </si>
  <si>
    <t>Incremental Value Realization by Year (Infrastructure items tied to migration percent per year)</t>
  </si>
  <si>
    <t>Ongoing Current State</t>
  </si>
  <si>
    <t>Target Future State</t>
  </si>
  <si>
    <t>VVM</t>
  </si>
  <si>
    <t>PCMO</t>
  </si>
  <si>
    <t>Automotive and Transport</t>
  </si>
  <si>
    <t>Banking</t>
  </si>
  <si>
    <t>Business Services</t>
  </si>
  <si>
    <t>Computer Services</t>
  </si>
  <si>
    <t>Consumer Services</t>
  </si>
  <si>
    <t>Financial Services</t>
  </si>
  <si>
    <t>Government</t>
  </si>
  <si>
    <t>Health Care</t>
  </si>
  <si>
    <t>High Tech</t>
  </si>
  <si>
    <t>Industrial Manufacturing</t>
  </si>
  <si>
    <t>Media</t>
  </si>
  <si>
    <t>Pharmaceuticals</t>
  </si>
  <si>
    <t>Retail</t>
  </si>
  <si>
    <t>Telecommunications Services</t>
  </si>
  <si>
    <t>Closest PCMO fit</t>
  </si>
  <si>
    <t>3 &amp; 8</t>
  </si>
  <si>
    <t>13 (or 10)</t>
  </si>
  <si>
    <t>2 and 18</t>
  </si>
  <si>
    <t>All industries</t>
  </si>
  <si>
    <t>6?</t>
  </si>
  <si>
    <t>Closest VVM fit</t>
  </si>
  <si>
    <t>7?</t>
  </si>
  <si>
    <t>AMER</t>
  </si>
  <si>
    <t>Average Annual Salary per IT employee by Industry - AMER</t>
  </si>
  <si>
    <t>IT Role factor as a % of average IT cost - AMER</t>
  </si>
  <si>
    <t>Region Factor (as a % of AMER) for IT employee salary</t>
  </si>
  <si>
    <t>vSAN storage = VMs x avg allocated GBs per VM</t>
  </si>
  <si>
    <t>Traditional storage only used for TCO Assessment</t>
  </si>
  <si>
    <t>Capacity SATA 7.2K RPM (TB), $/GB=0.26</t>
  </si>
  <si>
    <t>FUTURE STATE</t>
  </si>
  <si>
    <t>No</t>
  </si>
  <si>
    <t>For illustration</t>
  </si>
  <si>
    <t>Placeholder estimate - Ratio of Usable storage to Raw capacity. The raw capacity includes storage requirement for RAID/FTT levels, swap space, dedupe, compression and other file and system overheads</t>
  </si>
  <si>
    <t>Other Storage Devices (includes SAN switches, HBAs etc.)  as % of Host Cost</t>
  </si>
  <si>
    <t>RDS Outpost - Annualized cost of Nutanix DB (latest pricing 2024) - Not including the DB support</t>
  </si>
  <si>
    <t>Assumes elimination of  cost as part of execution of new contract</t>
  </si>
  <si>
    <t>% of Employees impacted by ransomware attack</t>
  </si>
  <si>
    <t>Amount cumulative benefit is greater than cumulative cost over in year benefit</t>
  </si>
  <si>
    <r>
      <t xml:space="preserve">Aerospace and </t>
    </r>
    <r>
      <rPr>
        <sz val="11"/>
        <color rgb="FFC00000"/>
        <rFont val="Calibri"/>
        <family val="2"/>
      </rPr>
      <t>Defense</t>
    </r>
  </si>
  <si>
    <t>Review Value Realization</t>
  </si>
  <si>
    <t>Return button</t>
  </si>
  <si>
    <t>This can be buried somewhere else</t>
  </si>
  <si>
    <t>Customer</t>
  </si>
  <si>
    <t>Date</t>
  </si>
  <si>
    <t>Term of Analysis</t>
  </si>
  <si>
    <t>VMware Solution</t>
  </si>
  <si>
    <t>Workbook Contents</t>
  </si>
  <si>
    <t>Results Tab</t>
  </si>
  <si>
    <t>Additional Information</t>
  </si>
  <si>
    <t>This workbook is an output of the VMware Value Modeler. Although great care has been and will be taken to ensure the accuracy and completeness of this model. VMware will be unable to accept any legal responsibility for any actions taken based on the information contained herein and VMware makes no warranties of any kind.</t>
  </si>
  <si>
    <t>Acme Company</t>
  </si>
  <si>
    <t>Vmware Cloud Foundation</t>
  </si>
  <si>
    <t>TCO &amp; ROI Analysis Workbook</t>
  </si>
  <si>
    <t>Intro</t>
  </si>
  <si>
    <t>This workbook provides value analysis output for transparency of math regarding data used and assumptions made for estimating the financial value of moving to VCF.</t>
  </si>
  <si>
    <t>Tabs include the ablity to create bottoms up calculations for current state and future state costs related to Compute, Storage, Network, Software, Labor, Migration, and Reskilling.</t>
  </si>
  <si>
    <t>In addition Business Impact in the form of profits related to increased or protected revenue and risk reduction based on reduced downtime and security incidents can be assessed.</t>
  </si>
  <si>
    <t>Analysis Tabs</t>
  </si>
  <si>
    <r>
      <rPr>
        <b/>
        <sz val="11"/>
        <color theme="1"/>
        <rFont val="Calibri"/>
        <family val="2"/>
        <scheme val="minor"/>
      </rPr>
      <t>ROI Summary</t>
    </r>
    <r>
      <rPr>
        <sz val="11"/>
        <color theme="1"/>
        <rFont val="Calibri"/>
        <family val="2"/>
        <scheme val="minor"/>
      </rPr>
      <t xml:space="preserve"> - provides key financial metrics and a summary of multi-year benefit and investment calculations, based on the benefits analyzed and assumed value realization assumptions.</t>
    </r>
  </si>
  <si>
    <t>Initial data inputs</t>
  </si>
  <si>
    <t>Some Data Used</t>
  </si>
  <si>
    <t>for Excel output, these values should drive the rest of the output sheets</t>
  </si>
  <si>
    <t>Date of download</t>
  </si>
  <si>
    <t>Ongoing current state (TCO)</t>
  </si>
  <si>
    <t>Future State Brownfield (TCO)</t>
  </si>
  <si>
    <t>Pull current state from Data Ingestion when used</t>
  </si>
  <si>
    <t>Value Model Configuration</t>
  </si>
  <si>
    <t>any values in yellow input cells for illustration only</t>
  </si>
  <si>
    <t>&lt;-- This "screen" follows when Value Model is included</t>
  </si>
  <si>
    <t>Avi Load Balancer</t>
  </si>
  <si>
    <t>Worksheet</t>
  </si>
  <si>
    <r>
      <t>Usable to Raw Ratio  (</t>
    </r>
    <r>
      <rPr>
        <b/>
        <u/>
        <sz val="12"/>
        <color theme="0"/>
        <rFont val="Calibri"/>
        <family val="2"/>
      </rPr>
      <t>Assumes ESA vSAN Architecture</t>
    </r>
    <r>
      <rPr>
        <b/>
        <sz val="12"/>
        <color theme="0"/>
        <rFont val="Calibri"/>
        <family val="2"/>
      </rPr>
      <t>)</t>
    </r>
  </si>
  <si>
    <r>
      <t>Capacity Disk Calculation (</t>
    </r>
    <r>
      <rPr>
        <b/>
        <u/>
        <sz val="12"/>
        <color theme="0"/>
        <rFont val="Calibri"/>
        <family val="2"/>
      </rPr>
      <t>Assumes ESA vSAN Architecture</t>
    </r>
    <r>
      <rPr>
        <b/>
        <sz val="12"/>
        <color theme="0"/>
        <rFont val="Calibri"/>
        <family val="2"/>
      </rPr>
      <t>)</t>
    </r>
  </si>
  <si>
    <t>Note to Mediafly: need inputs above here if not filled out for revenue (rows 2-8)</t>
  </si>
  <si>
    <t>From worksheet</t>
  </si>
  <si>
    <t>From Worksheet</t>
  </si>
  <si>
    <t>Postgres use</t>
  </si>
  <si>
    <t>Pulled from current number of hosts times current state cores per host</t>
  </si>
  <si>
    <t>From 10-k</t>
  </si>
  <si>
    <t>Aerospace and Defense</t>
  </si>
  <si>
    <t>Accounting, Auditing, Banking and Finance</t>
  </si>
  <si>
    <t>Professional Business Services</t>
  </si>
  <si>
    <t>Education Services</t>
  </si>
  <si>
    <t>Manufacturing: Consumer and Industrial</t>
  </si>
  <si>
    <t>Healthcare</t>
  </si>
  <si>
    <t>IT Software</t>
  </si>
  <si>
    <t>IT Consulting</t>
  </si>
  <si>
    <t>Hospitality, Travel and Recreation</t>
  </si>
  <si>
    <t>Insurance, Real Estate and Legal</t>
  </si>
  <si>
    <t>Media, Film, Music</t>
  </si>
  <si>
    <t>Pharmaceutical, Medical, Biotech</t>
  </si>
  <si>
    <t>Transporation or Public Utilities</t>
  </si>
  <si>
    <t>All Industries</t>
  </si>
  <si>
    <t>2024 Skillsoft Mapping</t>
  </si>
  <si>
    <t>Financial</t>
  </si>
  <si>
    <t>Industrial</t>
  </si>
  <si>
    <t>Technology</t>
  </si>
  <si>
    <t>2024 Cost of Breach</t>
  </si>
  <si>
    <t>Communications</t>
  </si>
  <si>
    <t>Hospitality</t>
  </si>
  <si>
    <t>Public</t>
  </si>
  <si>
    <t>Automotive</t>
  </si>
  <si>
    <t>From Skillsoft 2024 IT Skills &amp; Salary Report</t>
  </si>
  <si>
    <t>The 2024 Cost of a Data Breach Report by Ponemon Institute and IBM Security</t>
  </si>
  <si>
    <t>For Broadcom, not part of UI</t>
  </si>
  <si>
    <t>Government: Nondefense, State, Local</t>
  </si>
  <si>
    <t>estimate based on bls.gov (Dec 2024)</t>
  </si>
  <si>
    <t>Total Usable Storage (GB)</t>
  </si>
  <si>
    <t>Average host (compute) cost</t>
  </si>
  <si>
    <t>Cost per GB of raw storage</t>
  </si>
  <si>
    <t>Annual Facilities cost per host</t>
  </si>
  <si>
    <t>Total cores</t>
  </si>
  <si>
    <t>Raw Storage (GB)</t>
  </si>
  <si>
    <t>vDefend selected</t>
  </si>
  <si>
    <t>DSM Selected</t>
  </si>
  <si>
    <t>Current State Average Annual Cost per VM</t>
  </si>
  <si>
    <t>Future State Average Annual Cost per VM</t>
  </si>
  <si>
    <t>Total CapEx</t>
  </si>
  <si>
    <t>Total OpEx</t>
  </si>
  <si>
    <t>For PPT VVM TCO Slide</t>
  </si>
  <si>
    <t>For per VM  cost graphic</t>
  </si>
  <si>
    <t>For CapEx/OpEx  cost graphic</t>
  </si>
  <si>
    <t>M</t>
  </si>
  <si>
    <t>(these values are in millions)</t>
  </si>
  <si>
    <t>VLR simplified</t>
  </si>
  <si>
    <t>VVF jump start</t>
  </si>
  <si>
    <t>x</t>
  </si>
  <si>
    <t>VMware Live Recovery (VLR)</t>
  </si>
  <si>
    <t>Data Services Manager (DSM)</t>
  </si>
  <si>
    <t>Reduced Disaster Recovery HW (CapEx)</t>
  </si>
  <si>
    <t>Estimated disaster recovery compute cost</t>
  </si>
  <si>
    <t>From Storage</t>
  </si>
  <si>
    <t>From Network</t>
  </si>
  <si>
    <t>Percent of workloads (VMs) protected by current disaster recovery solution</t>
  </si>
  <si>
    <t>Current disaster recovery cost as a percent of production cost?</t>
  </si>
  <si>
    <t>Percent of workloads (VMs) to be protected by VMware Live Cyber Recovery (VLCR)</t>
  </si>
  <si>
    <t>Percent of workloads (VMs) to be protected by VMware Live Site Recovery (VLSR)</t>
  </si>
  <si>
    <t>hide</t>
  </si>
  <si>
    <t>Current state compute refresh cost</t>
  </si>
  <si>
    <t>Current state storage refresh cost</t>
  </si>
  <si>
    <t>Current state network refresh cost</t>
  </si>
  <si>
    <t>Annual disaster recovery hardware support</t>
  </si>
  <si>
    <t>Calculation - this is added to compute cost</t>
  </si>
  <si>
    <t>Calculation - this is added to network costs</t>
  </si>
  <si>
    <t>Calculation - this is added to storage costs</t>
  </si>
  <si>
    <t>Estimated disaster recovery storage cost</t>
  </si>
  <si>
    <t>Estimated disaster recovery network cost (other network devices, not firewalls or load balancers)</t>
  </si>
  <si>
    <t>Disaster Recovery Admin Productivity</t>
  </si>
  <si>
    <t>Number of Disaster Recovery Administrators</t>
  </si>
  <si>
    <t>Percent to be impacted by VMware</t>
  </si>
  <si>
    <t>Anticipated cost reduction</t>
  </si>
  <si>
    <t>Other Reduced Software Cost(s)</t>
  </si>
  <si>
    <t>Annual average cost per contract</t>
  </si>
  <si>
    <t>Other Labor Productivity Gain(s)</t>
  </si>
  <si>
    <t>Number of FTEs</t>
  </si>
  <si>
    <t>Average annual fully burdened cost per …</t>
  </si>
  <si>
    <t>Number of software subscription contracts</t>
  </si>
  <si>
    <t>Custom Benefits for Software Cost Savings and Labor Productivity</t>
  </si>
  <si>
    <t>Include Custom Benefit</t>
  </si>
  <si>
    <t>Future state solution</t>
  </si>
  <si>
    <t>VLR Selected</t>
  </si>
  <si>
    <t>Business Benefit</t>
  </si>
  <si>
    <t>Reduced Risk of a Security or Data Breach</t>
  </si>
  <si>
    <t>Reduced Risk of a Ransomware Attack</t>
  </si>
  <si>
    <t>vDefend</t>
  </si>
  <si>
    <t>Avi</t>
  </si>
  <si>
    <t>VLR</t>
  </si>
  <si>
    <t>DSM</t>
  </si>
  <si>
    <t>to illustrate override</t>
  </si>
  <si>
    <t>default from table --&gt;</t>
  </si>
  <si>
    <t>for drop downs</t>
  </si>
  <si>
    <t>base solution</t>
  </si>
  <si>
    <t>&lt;-- Note to Mediafly: Default should be blank</t>
  </si>
  <si>
    <t>Current VMware Support Investment Elimination</t>
  </si>
  <si>
    <t>Annual VMware Support (e.g., TAM, etc.)</t>
  </si>
  <si>
    <t>Assumes elimination of cost as part of execution of new contract (that may or may not include new support)</t>
  </si>
  <si>
    <t>VMs/Host</t>
  </si>
  <si>
    <t>&lt;--note to MF, this value should be bidirectionally linked with value in the worksheet below</t>
  </si>
  <si>
    <t>Reduced Load Balancer Hardware</t>
  </si>
  <si>
    <t>Reduced Firewall Hardware</t>
  </si>
  <si>
    <t>From Network Calculation Section Above (Reduced Load Balancer Hardware)</t>
  </si>
  <si>
    <t>From Network Calculation Section Above (Reduced Firewall Hardware)</t>
  </si>
  <si>
    <t>Current State Ongoing Opex per device per year</t>
  </si>
  <si>
    <t xml:space="preserve">Reskilling </t>
  </si>
  <si>
    <t>Private Cloud Platform</t>
  </si>
  <si>
    <t>Savings</t>
  </si>
  <si>
    <t>Improvement</t>
  </si>
  <si>
    <t>&lt;-- required input, not less than 0%, nothing greater than 100%</t>
  </si>
  <si>
    <t>Revenue Impact</t>
  </si>
  <si>
    <t>All values based on analysis term (3 or 5 years) except Revenue Impact and Risk Reduction (which are based on annualized impact).</t>
  </si>
  <si>
    <t>Intermediate Calcluations</t>
  </si>
  <si>
    <t>Competitive TCO Comparison</t>
  </si>
  <si>
    <t>Value Model</t>
  </si>
  <si>
    <t>Transition from Value Model to Competitive TCO Comparison</t>
  </si>
  <si>
    <t>You have to consider the results of the two models from different points of view.</t>
  </si>
  <si>
    <t>The Competitive TCO Comparison model compares an idealized end state TCO estimate (post adoption ramp) for the purposes of its comparison.</t>
  </si>
  <si>
    <t>The TCO shown on the next screen will be slightly different to account for the frame of reference shift of the competitive model.
1) When using the value model and comparison together your comparison model does not get to change configuration of server technology.
2) The software investment in the VCF Endstate will default to approximate list price for VCF and add-ons. Your approximate discount input in the prior screen will be used to estimate list. If you want to show discounts for Broadcom and the competition, please input those discounts in the Assumptions popup in the Competitive TCO Comparison module that follows.</t>
  </si>
  <si>
    <t>Cost Categories</t>
  </si>
  <si>
    <t>Summary of Key Value Model Data Points Also Passed to the Competitive TCO Comparison</t>
  </si>
  <si>
    <t>Metric</t>
  </si>
  <si>
    <t>VMs/Hosts</t>
  </si>
  <si>
    <t>Avi selected</t>
  </si>
  <si>
    <t>&lt;-- If "VVF" or "VVF with vSAN", replace "VCF" as fit</t>
  </si>
  <si>
    <t>Update</t>
  </si>
  <si>
    <t>add P2V</t>
  </si>
  <si>
    <t xml:space="preserve">Sustainability </t>
  </si>
  <si>
    <t>Reduced Physical Server Hardware</t>
  </si>
  <si>
    <t>Number of Physical legacy servers (that can be virtualized)</t>
  </si>
  <si>
    <t>Annual physical legacy server hardware support</t>
  </si>
  <si>
    <t>Average purchase cost to refresh a physical legacy server</t>
  </si>
  <si>
    <t>Consolidation Ratio (average VMs per host)</t>
  </si>
  <si>
    <t>%  of vSAN Coverage</t>
  </si>
  <si>
    <t>Resultant number of new VMs on premises</t>
  </si>
  <si>
    <t>Default assumes 1:1 server:VM migration</t>
  </si>
  <si>
    <t>Assumes 2 CPU, 36 Cores 768 GB RAM hosts. This is the server compute cost, embedded storage cost is factored under storage costs</t>
  </si>
  <si>
    <t>Assumes 2 CPU, 36 Cores, 768 GB RAM</t>
  </si>
  <si>
    <t>Placeholder estimate based on anticipated vSAN coverage</t>
  </si>
  <si>
    <t>Average compute cost per vSAN Ready Node</t>
  </si>
  <si>
    <t>Average purchase cost per ESXi host</t>
  </si>
  <si>
    <t>Include Physical to Virtual (P2V) Benefit</t>
  </si>
  <si>
    <t>Note: Private Cloud Platform in Competitive TCO Comparison is limited to the solution selected in the Value Model</t>
  </si>
  <si>
    <t>Number of Physical legacy servers</t>
  </si>
  <si>
    <t>Number of Physical Servers</t>
  </si>
  <si>
    <t>Average allocated/provisioned storage (GBs) per Physical Server</t>
  </si>
  <si>
    <t>Average purchase cost per physical legacy server</t>
  </si>
  <si>
    <t>Average purchase cost per current state VM host</t>
  </si>
  <si>
    <t>Opex per physical legacy server per year (rack, power, cooling)</t>
  </si>
  <si>
    <t>Operational Power rating per physical legacy server (kW)</t>
  </si>
  <si>
    <t>Resultant annual power consumption per physical legacy server (KWh)</t>
  </si>
  <si>
    <t>Physical legacy servers</t>
  </si>
  <si>
    <t>Physical legacy server</t>
  </si>
  <si>
    <t>Rack Units (RU) per Physical legacy server</t>
  </si>
  <si>
    <t>Rack Units (RU) per Physical Load Balancer/Firewall</t>
  </si>
  <si>
    <t>Reduced Power Consumption (in MWh)</t>
  </si>
  <si>
    <t>CO2 emission avoided (Metric Tons)</t>
  </si>
  <si>
    <t xml:space="preserve">Motor Vehicles off Road </t>
  </si>
  <si>
    <t>Urban Planted Trees (allowed to grow 10 years)</t>
  </si>
  <si>
    <t>Green House Gas Assumptions</t>
  </si>
  <si>
    <t>Carbon Emission from Datacenter Servers</t>
  </si>
  <si>
    <t>Marginal Operating Emissions Rate (MOER in CO2 Pounds per MWh)</t>
  </si>
  <si>
    <t>Represents the emissions rate of the electricity generator(s) which are responding to changes in load on the local grid at a certain time. Based on world average from : https://www.watttime.org/</t>
  </si>
  <si>
    <t>Metric tons per pound</t>
  </si>
  <si>
    <t>Ratio of metric tons per pound</t>
  </si>
  <si>
    <t>CO2 MT per MWh</t>
  </si>
  <si>
    <t>Calculation, https://www.epa.gov/energy/greenhouse-gases-equivalencies-calculator-calculations-and-references</t>
  </si>
  <si>
    <t>Carbon Emission from gasoline powered cars</t>
  </si>
  <si>
    <t>CO2 emissions ratio for passenger vehicles</t>
  </si>
  <si>
    <t>CO2 emissions to total greenhouse gas emissions (including carbon dioxide, methane, and nitrous oxide, all expressed as carbon dioxide equivalents)</t>
  </si>
  <si>
    <t>Average motor vehicle miles traveled per year</t>
  </si>
  <si>
    <t>Placeholder estimate from FHWA 2020</t>
  </si>
  <si>
    <t>Carbon dioxide emitted per gallon of motor gasoline (Metric Tons)</t>
  </si>
  <si>
    <t>Number of Miles per Gallon for motor vehicles</t>
  </si>
  <si>
    <t>Metric Ton CO2 Equivalent per Vehicle per year</t>
  </si>
  <si>
    <t>Carbon Sequestered by Urban Planted Trees allowed to grow 10 years</t>
  </si>
  <si>
    <t>Carbon Sequestered per tree (lbs C/tree)</t>
  </si>
  <si>
    <t>https://www.epa.gov/energy/greenhouse-gases-equivalencies-calculator-calculations-and-references</t>
  </si>
  <si>
    <t>Carbon Dioxide (CO2) Sequestered per tree (MT per pound)</t>
  </si>
  <si>
    <t>Calculation, Ratio of the molecular weight of carbon dioxide to carbon = (44/12)</t>
  </si>
  <si>
    <t>Metric Ton CO2 per Urban Planted Tree</t>
  </si>
  <si>
    <t>Power &amp; Cooling Requirements</t>
  </si>
  <si>
    <t>Physical Host (kWh)</t>
  </si>
  <si>
    <t>Firewall (kWh)</t>
  </si>
  <si>
    <t>Load balancer (kWh)</t>
  </si>
  <si>
    <t>Quantity of each Hardware Component</t>
  </si>
  <si>
    <t>Number of  Firewalls</t>
  </si>
  <si>
    <t>Number of Load balancers</t>
  </si>
  <si>
    <t>VM Host Server HW</t>
  </si>
  <si>
    <t>Physical Legacy Servers</t>
  </si>
  <si>
    <t>Load Balancer HW</t>
  </si>
  <si>
    <t>Number of VM Hosts (On-Prem)</t>
  </si>
  <si>
    <t>From Facilites</t>
  </si>
  <si>
    <t>Total Annual Power &amp; Cooling Requirement in Kwh</t>
  </si>
  <si>
    <t>Power Consumption by Hardware Component Type</t>
  </si>
  <si>
    <t>Annual</t>
  </si>
  <si>
    <t>Total Power Consumption Savings by Hardware Component Type (in MWh)</t>
  </si>
  <si>
    <t>Incremental Migration by year</t>
  </si>
  <si>
    <t>Firewall HW</t>
  </si>
  <si>
    <t>From ROI Results</t>
  </si>
  <si>
    <t>vDefend Distributed Firewall</t>
  </si>
  <si>
    <t>Select Advanced Services:</t>
  </si>
  <si>
    <t>Average Annual Growth</t>
  </si>
  <si>
    <t>Annual Inflation Adjustment</t>
  </si>
  <si>
    <t>Estimated VM / Host Count by Year</t>
  </si>
  <si>
    <t>Year 1 (start)</t>
  </si>
  <si>
    <t>Year 1 (end)</t>
  </si>
  <si>
    <t>Year 2 (end)</t>
  </si>
  <si>
    <t>Year 3 (end)</t>
  </si>
  <si>
    <t>Physical Servers</t>
  </si>
  <si>
    <t>Reclamation</t>
  </si>
  <si>
    <t>Future State CR (from P2V)</t>
  </si>
  <si>
    <t>P2V hosts</t>
  </si>
  <si>
    <t>Growth &amp; Inflation</t>
  </si>
  <si>
    <t>&lt;-- growth and inflation NOT applied to VMware Support</t>
  </si>
  <si>
    <t>&lt;-- growth and inflation NOT applied to reskilling</t>
  </si>
  <si>
    <t>&lt;-- growth and inflation NOT applied to revenue impact?</t>
  </si>
  <si>
    <t>&lt;-- growth and inflation NOT applied to risk reduction?</t>
  </si>
  <si>
    <t>&lt;-- growth applied in all years, inflation applied year 2+</t>
  </si>
  <si>
    <r>
      <t xml:space="preserve">&lt;-- growth applied in all years, </t>
    </r>
    <r>
      <rPr>
        <u/>
        <sz val="12"/>
        <color rgb="FFC00000"/>
        <rFont val="Calibri"/>
        <family val="2"/>
      </rPr>
      <t>but only 50% of growth in year 1</t>
    </r>
    <r>
      <rPr>
        <sz val="12"/>
        <color rgb="FFC00000"/>
        <rFont val="Calibri"/>
        <family val="2"/>
      </rPr>
      <t>, inflation applied year 2+</t>
    </r>
  </si>
  <si>
    <t>&lt;-- growth applied in all years, but only 50% of growth in year 1, inflation applied year 2+, and NEITHER applied to migration if PS &gt; calculated migration</t>
  </si>
  <si>
    <t>&lt;-- growth and inflation not applied to VMware SW, otherwise growth applied in all years, inflation applied year 2+</t>
  </si>
  <si>
    <t>Reserved Capacity Percentage</t>
  </si>
  <si>
    <t>Usable Storage per vSAN Host (GB)</t>
  </si>
  <si>
    <t>In Excel output, should be as shown here</t>
  </si>
  <si>
    <t>Review Sustainability</t>
  </si>
  <si>
    <t>Total cost of Storage in vSAN Ready Nodes</t>
  </si>
  <si>
    <t>For TCO Solution Comparison Tile</t>
  </si>
  <si>
    <t>Yes/No Drop Down</t>
  </si>
  <si>
    <t>Capacity Disk Size Options</t>
  </si>
  <si>
    <t>Area conversion for Facilities</t>
  </si>
  <si>
    <t>Mapping Advanced Services to Risk Reduction</t>
  </si>
  <si>
    <t>CapEx v OpEx Calcs</t>
  </si>
  <si>
    <t>Shouldn't be edited</t>
  </si>
  <si>
    <t>Generally should not be edited</t>
  </si>
  <si>
    <t>Number of Capacity Disks</t>
  </si>
  <si>
    <t>Accordion Totals</t>
  </si>
  <si>
    <t>V2.5 Items</t>
  </si>
  <si>
    <t>Past Value Analysis - see separate workbook</t>
  </si>
  <si>
    <t>Sum of Annualized Business Benefits</t>
  </si>
  <si>
    <t>&lt;-- for illustration only</t>
  </si>
  <si>
    <t>Component Usage</t>
  </si>
  <si>
    <t>% of Operations coverage</t>
  </si>
  <si>
    <t>% of Automation coverage</t>
  </si>
  <si>
    <t>When you choose to use both a value model and a competitive comparison, it's important to understand the transition between them. We utilize two distinct models for different purposes: the Value Model for calculating solution ROI, and the Competitive TCO Comparison Model for estimating end-state TCO against competitive solutions. This distinction is crucial to prevent confusion if the End-state TCO figures differ slightly from what you observed in the value model.</t>
  </si>
  <si>
    <t xml:space="preserve"> Future State  for TCO Model (VCF at List Price)</t>
  </si>
  <si>
    <t>Scenario 1</t>
  </si>
  <si>
    <t>Scenario 2</t>
  </si>
  <si>
    <t>Scenario 3</t>
  </si>
  <si>
    <t>Scenario 4</t>
  </si>
  <si>
    <t>OLD</t>
  </si>
  <si>
    <t>NEW</t>
  </si>
  <si>
    <t>Include Memory Tiering benefits</t>
  </si>
  <si>
    <t xml:space="preserve">Anticipated percentage improvement in Memory overcommit </t>
  </si>
  <si>
    <t>Advanced Memory Management and Scheduling, with DPM :VCF delivers better resource management through its memory overcommitment and memory oversubscription features leading to improved host consolidation</t>
  </si>
  <si>
    <t>Cost Efficiency with NVMe Tiering</t>
  </si>
  <si>
    <t>Projected RAM Requirements Based on Current State for Future Growth (in GB)</t>
  </si>
  <si>
    <t>Estimated Number of Additional Hosts Needed to Meet RAM Requirements</t>
  </si>
  <si>
    <t>Current State Cost - Compute</t>
  </si>
  <si>
    <t>Current State Cost - Network</t>
  </si>
  <si>
    <t>Current State Cost - Facilities</t>
  </si>
  <si>
    <t>Percentage of anticipated RAM demand offloaded to NVMe devices in the future state</t>
  </si>
  <si>
    <t>NVMe Storage Capacity per Device (in GB)</t>
  </si>
  <si>
    <t xml:space="preserve">Average purchase cost per additional NVMe device </t>
  </si>
  <si>
    <t xml:space="preserve">Number of NVMe Device required </t>
  </si>
  <si>
    <t>Global Deduplication factor</t>
  </si>
  <si>
    <t>Storage Space Efficency</t>
  </si>
  <si>
    <t>Developer Productivity</t>
  </si>
  <si>
    <t>Number of business applications/databases</t>
  </si>
  <si>
    <t xml:space="preserve">Number of Developers </t>
  </si>
  <si>
    <t>Average annual fully burdened cost per developer</t>
  </si>
  <si>
    <t xml:space="preserve">Percentage of FTEs impacted </t>
  </si>
  <si>
    <t>Downtime effect on internal productivity</t>
  </si>
  <si>
    <t xml:space="preserve">Estimated cost per downtime on  internal producitivity </t>
  </si>
  <si>
    <t>Impact on Internal Productivity</t>
  </si>
  <si>
    <t>Impact on Revenue</t>
  </si>
  <si>
    <t>Downtime effect on sales/revenue</t>
  </si>
  <si>
    <t>VCF Operations</t>
  </si>
  <si>
    <t>Annual Current State Cost</t>
  </si>
  <si>
    <t>Annual Future State Cost</t>
  </si>
  <si>
    <t>Note to self.. Updated based on TEI report of VCF operations</t>
  </si>
  <si>
    <t>Mean Time to Resolution (MTTR) Reduction</t>
  </si>
  <si>
    <t xml:space="preserve">Number of  infrastructure Admins required for resolving  workload infrastructure issues </t>
  </si>
  <si>
    <t>Weekly cordination hours required for issue resolution (in hours)</t>
  </si>
  <si>
    <t>Time allocated for meeting preparation and cordination to resolve the issue</t>
  </si>
  <si>
    <t>Workload reduction on infrastructure issues</t>
  </si>
  <si>
    <t>FTES</t>
  </si>
  <si>
    <t>Current</t>
  </si>
  <si>
    <t>Future</t>
  </si>
  <si>
    <t>Workload reduction</t>
  </si>
  <si>
    <t>Legacy weekly</t>
  </si>
  <si>
    <t>Anticipated time reduction in weekly cordination hours</t>
  </si>
  <si>
    <t>Assumes 3000 VMs per admin</t>
  </si>
  <si>
    <t>Placeholder estimate based on The Total Economic Impact™ Of VMware Cloud Foundation Operations</t>
  </si>
  <si>
    <t>Time required for application, workload, and infrastructure upgrades and patches (in hours)</t>
  </si>
  <si>
    <t>Annual number of upgrades</t>
  </si>
  <si>
    <t>Chargeback modeling hours (Includes chargeback model setup hours and data entry hours)</t>
  </si>
  <si>
    <t>Anticipated upgrade efficency value</t>
  </si>
  <si>
    <t>Anticipated chargeback modeling efficiency gain</t>
  </si>
  <si>
    <t>% of Solution Adopted</t>
  </si>
  <si>
    <t>Delta</t>
  </si>
  <si>
    <t>VCF Automation</t>
  </si>
  <si>
    <t>Weightage on Impact</t>
  </si>
  <si>
    <t xml:space="preserve">Placeholder estimate based on the VCF operations and automation coverage </t>
  </si>
  <si>
    <t>Number of IT service delivery personnel required for provisioning and deploying new VMS</t>
  </si>
  <si>
    <t xml:space="preserve">Anticipated percent reduction in deploying new VMs </t>
  </si>
  <si>
    <t>Placeholder estimate based on The Total Economic Impact™ Of VMware Cloud Foundation Automations</t>
  </si>
  <si>
    <t xml:space="preserve">Total Number of FTE(s) involved cosidered in Current state </t>
  </si>
  <si>
    <t xml:space="preserve">Total recaptured labor hours in future state </t>
  </si>
  <si>
    <t xml:space="preserve">Anticipated Efficiency improvement </t>
  </si>
  <si>
    <t>Calculation -Sum of all the individual FTEs cosnidered for estimating the operational efficiency improvement</t>
  </si>
  <si>
    <t>Calculation- Sum of all the individual FTEs cosnidered for estimating the operational efficiency improvement</t>
  </si>
  <si>
    <t>% of Labor hours Recaptured</t>
  </si>
  <si>
    <t>FTE Type</t>
  </si>
  <si>
    <t xml:space="preserve">Number </t>
  </si>
  <si>
    <t>VCF 9</t>
  </si>
  <si>
    <t>Not for UI</t>
  </si>
  <si>
    <t>Cost per SR</t>
  </si>
  <si>
    <t>Assume hourly rate</t>
  </si>
  <si>
    <t>AvgHoursPerSR</t>
  </si>
  <si>
    <t>Sev 1</t>
  </si>
  <si>
    <t>Sev 2</t>
  </si>
  <si>
    <t>Sev 3</t>
  </si>
  <si>
    <t>Anticipated percentage improvement in CPU overcommit (vCPU:pCPU) due to additional Memory capacity</t>
  </si>
  <si>
    <t>Average server purchase cost with DRAM capcity</t>
  </si>
  <si>
    <t>Number of FTES required in Future</t>
  </si>
  <si>
    <t>Recaptured hours</t>
  </si>
  <si>
    <t>Total FTES</t>
  </si>
  <si>
    <t>Total  effective available capacity per host (TiB)</t>
  </si>
  <si>
    <t>Hardware Refresh Cycle (Years)</t>
  </si>
  <si>
    <t>Term of analysis</t>
  </si>
  <si>
    <t>Average Effectivestorage cost per GB w/ vSAN</t>
  </si>
  <si>
    <t>Value Component/ Deployment Plan</t>
  </si>
  <si>
    <t>Calculation based on the vSAN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</si>
</sst>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 &quot;$&quot;\ * #,##0.00_ ;_ &quot;$&quot;\ * \-#,##0.00_ ;_ &quot;$&quot;\ * &quot;-&quot;??_ ;_ @_ "/>
    <numFmt numFmtId="165" formatCode="&quot;$&quot;#,##0"/>
    <numFmt numFmtId="166" formatCode="0.0%"/>
    <numFmt numFmtId="167" formatCode="&quot;$&quot;#,##0.00"/>
    <numFmt numFmtId="168" formatCode="#,##0.0"/>
    <numFmt numFmtId="169" formatCode="&quot;$&quot;\ #,##0"/>
    <numFmt numFmtId="170" formatCode="&quot;$&quot;\ #,##0.0"/>
    <numFmt numFmtId="171" formatCode="_(&quot;$&quot;* #,##0_);_(&quot;$&quot;* \(#,##0\);_(&quot;$&quot;* &quot;-&quot;??_);_(@_)"/>
    <numFmt numFmtId="172" formatCode="0.000000000000000%"/>
    <numFmt numFmtId="173" formatCode="&quot;$&quot;\ #,##0.00;[Red]&quot;$&quot;\ #,##0.00"/>
    <numFmt numFmtId="174" formatCode="#,##0.0_);\(#,##0.0\)"/>
    <numFmt numFmtId="175" formatCode="0.0"/>
    <numFmt numFmtId="176" formatCode="[$-409]mmmm\ d\,\ yyyy;@"/>
    <numFmt numFmtId="177" formatCode="#,##0.000"/>
    <numFmt numFmtId="178" formatCode="#,##0.00000"/>
    <numFmt numFmtId="179" formatCode="0.000%"/>
    <numFmt numFmtId="180" formatCode="&quot;$&quot;#,##0.0"/>
    <numFmt numFmtId="181" formatCode="&quot;$&quot;#,##0.0000"/>
    <numFmt numFmtId="182" formatCode="&quot;$&quot;#,##0.000_);\(&quot;$&quot;#,##0.000\)"/>
    <numFmt numFmtId="183" formatCode="0.000"/>
    <numFmt numFmtId="184" formatCode="0.0000"/>
    <numFmt numFmtId="187" formatCode="&quot;Year-&quot;#"/>
  </numFmts>
  <fonts count="97" x14ac:knownFonts="1">
    <font>
      <sz val="11"/>
      <color theme="1"/>
      <name val="Calibri"/>
      <family val="2"/>
      <scheme val="minor"/>
    </font>
    <font>
      <sz val="11"/>
      <color rgb="FFC00000"/>
      <name val="Calibri"/>
      <family val="2"/>
      <scheme val="minor"/>
    </font>
    <font>
      <sz val="11"/>
      <color theme="1"/>
      <name val="Calibri"/>
      <family val="2"/>
      <scheme val="minor"/>
    </font>
    <font>
      <sz val="11"/>
      <name val="Calibri"/>
      <family val="2"/>
    </font>
    <font>
      <sz val="10"/>
      <name val="Calibri"/>
      <family val="2"/>
    </font>
    <font>
      <sz val="8.1999999999999993"/>
      <name val="Arial"/>
      <family val="2"/>
    </font>
    <font>
      <b/>
      <sz val="16"/>
      <color theme="0"/>
      <name val="Calibri"/>
      <family val="2"/>
    </font>
    <font>
      <sz val="12"/>
      <name val="Calibri"/>
      <family val="2"/>
    </font>
    <font>
      <b/>
      <sz val="12"/>
      <name val="Calibri"/>
      <family val="2"/>
    </font>
    <font>
      <sz val="12"/>
      <color rgb="FFFF0000"/>
      <name val="Calibri"/>
      <family val="2"/>
    </font>
    <font>
      <sz val="11"/>
      <color rgb="FFC00000"/>
      <name val="Calibri"/>
      <family val="2"/>
    </font>
    <font>
      <b/>
      <sz val="12"/>
      <color rgb="FFFF0000"/>
      <name val="Calibri"/>
      <family val="2"/>
    </font>
    <font>
      <b/>
      <sz val="11"/>
      <color rgb="FFFF0000"/>
      <name val="Calibri"/>
      <family val="2"/>
    </font>
    <font>
      <sz val="12"/>
      <color theme="1"/>
      <name val="Calibri"/>
      <family val="2"/>
    </font>
    <font>
      <sz val="11"/>
      <color theme="1"/>
      <name val="Calibri"/>
      <family val="2"/>
    </font>
    <font>
      <b/>
      <sz val="11"/>
      <color theme="0"/>
      <name val="Calibri"/>
      <family val="2"/>
      <scheme val="minor"/>
    </font>
    <font>
      <b/>
      <sz val="11"/>
      <color theme="1"/>
      <name val="Calibri"/>
      <family val="2"/>
      <scheme val="minor"/>
    </font>
    <font>
      <b/>
      <sz val="11"/>
      <name val="Calibri"/>
      <family val="2"/>
    </font>
    <font>
      <b/>
      <sz val="14"/>
      <color rgb="FFFF0000"/>
      <name val="Calibri"/>
      <family val="2"/>
    </font>
    <font>
      <sz val="11"/>
      <name val="Calibri"/>
      <family val="2"/>
      <scheme val="minor"/>
    </font>
    <font>
      <b/>
      <sz val="11"/>
      <color indexed="8"/>
      <name val="Calibri"/>
      <family val="2"/>
    </font>
    <font>
      <i/>
      <sz val="11"/>
      <name val="Calibri"/>
      <family val="2"/>
      <scheme val="minor"/>
    </font>
    <font>
      <b/>
      <sz val="12"/>
      <color theme="1"/>
      <name val="Calibri"/>
      <family val="2"/>
      <scheme val="minor"/>
    </font>
    <font>
      <b/>
      <sz val="14"/>
      <color theme="0"/>
      <name val="Calibri"/>
      <family val="2"/>
      <scheme val="minor"/>
    </font>
    <font>
      <i/>
      <sz val="11"/>
      <color rgb="FFFF0000"/>
      <name val="Calibri"/>
      <family val="2"/>
      <scheme val="minor"/>
    </font>
    <font>
      <b/>
      <sz val="12"/>
      <color theme="0"/>
      <name val="Calibri"/>
      <family val="2"/>
      <scheme val="minor"/>
    </font>
    <font>
      <b/>
      <sz val="11"/>
      <color theme="1"/>
      <name val="Calibri"/>
      <family val="2"/>
    </font>
    <font>
      <b/>
      <sz val="12"/>
      <color theme="1"/>
      <name val="Calibri"/>
      <family val="2"/>
    </font>
    <font>
      <b/>
      <sz val="12"/>
      <color theme="0"/>
      <name val="Calibri"/>
      <family val="2"/>
    </font>
    <font>
      <sz val="11"/>
      <color rgb="FF000000"/>
      <name val="Calibri"/>
      <family val="2"/>
    </font>
    <font>
      <sz val="12"/>
      <color rgb="FFC00000"/>
      <name val="Calibri"/>
      <family val="2"/>
    </font>
    <font>
      <b/>
      <sz val="12"/>
      <color rgb="FFC00000"/>
      <name val="Calibri"/>
      <family val="2"/>
    </font>
    <font>
      <b/>
      <sz val="11"/>
      <color rgb="FFC00000"/>
      <name val="Calibri"/>
      <family val="2"/>
    </font>
    <font>
      <sz val="12"/>
      <color theme="1"/>
      <name val="Calibri"/>
      <family val="2"/>
      <scheme val="minor"/>
    </font>
    <font>
      <b/>
      <sz val="10"/>
      <name val="Calibri"/>
      <family val="2"/>
    </font>
    <font>
      <sz val="8"/>
      <name val="Calibri"/>
      <family val="2"/>
      <scheme val="minor"/>
    </font>
    <font>
      <u/>
      <sz val="11"/>
      <name val="Calibri"/>
      <family val="2"/>
    </font>
    <font>
      <u/>
      <sz val="12"/>
      <name val="Calibri"/>
      <family val="2"/>
    </font>
    <font>
      <sz val="9"/>
      <color theme="1"/>
      <name val="Calibri"/>
      <family val="2"/>
      <scheme val="minor"/>
    </font>
    <font>
      <b/>
      <sz val="12"/>
      <name val="Calibri"/>
      <family val="2"/>
      <scheme val="minor"/>
    </font>
    <font>
      <b/>
      <sz val="12"/>
      <color rgb="FFFF0000"/>
      <name val="Calibri"/>
      <family val="2"/>
      <scheme val="minor"/>
    </font>
    <font>
      <sz val="12"/>
      <name val="Calibri"/>
      <family val="2"/>
      <scheme val="minor"/>
    </font>
    <font>
      <b/>
      <sz val="12"/>
      <color rgb="FFC00000"/>
      <name val="Calibri"/>
      <family val="2"/>
      <scheme val="minor"/>
    </font>
    <font>
      <b/>
      <sz val="9"/>
      <name val="Calibri"/>
      <family val="2"/>
      <scheme val="minor"/>
    </font>
    <font>
      <sz val="12"/>
      <color rgb="FFC00000"/>
      <name val="Calibri"/>
      <family val="2"/>
      <scheme val="minor"/>
    </font>
    <font>
      <sz val="12"/>
      <color rgb="FFFF0000"/>
      <name val="Calibri"/>
      <family val="2"/>
      <scheme val="minor"/>
    </font>
    <font>
      <u/>
      <sz val="11"/>
      <color theme="10"/>
      <name val="Calibri"/>
      <family val="2"/>
      <scheme val="minor"/>
    </font>
    <font>
      <sz val="9"/>
      <color theme="1"/>
      <name val="Metropolis"/>
    </font>
    <font>
      <sz val="12"/>
      <color theme="0"/>
      <name val="Calibri"/>
      <family val="2"/>
    </font>
    <font>
      <b/>
      <u/>
      <sz val="12"/>
      <name val="Calibri"/>
      <family val="2"/>
    </font>
    <font>
      <i/>
      <sz val="12"/>
      <color theme="4"/>
      <name val="Calibri"/>
      <family val="2"/>
      <scheme val="minor"/>
    </font>
    <font>
      <sz val="8"/>
      <color indexed="8"/>
      <name val="Arial"/>
      <family val="2"/>
    </font>
    <font>
      <b/>
      <sz val="12"/>
      <color theme="4"/>
      <name val="Calibri"/>
      <family val="2"/>
      <scheme val="minor"/>
    </font>
    <font>
      <sz val="12"/>
      <name val="Arial"/>
      <family val="2"/>
    </font>
    <font>
      <u/>
      <sz val="12"/>
      <color theme="0"/>
      <name val="Calibri"/>
      <family val="2"/>
      <scheme val="minor"/>
    </font>
    <font>
      <b/>
      <sz val="12"/>
      <color theme="4"/>
      <name val="Calibri"/>
      <family val="2"/>
    </font>
    <font>
      <b/>
      <u/>
      <sz val="12"/>
      <color theme="1"/>
      <name val="Calibri"/>
      <family val="2"/>
      <scheme val="minor"/>
    </font>
    <font>
      <sz val="10"/>
      <color rgb="FFFF0000"/>
      <name val="Calibri"/>
      <family val="2"/>
      <scheme val="minor"/>
    </font>
    <font>
      <b/>
      <u/>
      <sz val="12"/>
      <color theme="0"/>
      <name val="Calibri"/>
      <family val="2"/>
    </font>
    <font>
      <b/>
      <u/>
      <sz val="12"/>
      <color theme="1"/>
      <name val="Calibri"/>
      <family val="2"/>
    </font>
    <font>
      <u/>
      <sz val="11"/>
      <color theme="1"/>
      <name val="Calibri"/>
      <family val="2"/>
      <scheme val="minor"/>
    </font>
    <font>
      <b/>
      <u/>
      <sz val="12"/>
      <color theme="10"/>
      <name val="Calibri"/>
      <family val="2"/>
      <scheme val="minor"/>
    </font>
    <font>
      <sz val="11"/>
      <color rgb="FFFF0000"/>
      <name val="Calibri"/>
      <family val="2"/>
    </font>
    <font>
      <b/>
      <sz val="9"/>
      <color rgb="FFC00000"/>
      <name val="Calibri"/>
      <family val="2"/>
      <scheme val="minor"/>
    </font>
    <font>
      <sz val="12"/>
      <color rgb="FF000000"/>
      <name val="Calibri"/>
      <family val="2"/>
      <scheme val="minor"/>
    </font>
    <font>
      <b/>
      <sz val="12"/>
      <color rgb="FF000000"/>
      <name val="Calibri"/>
      <family val="2"/>
      <scheme val="minor"/>
    </font>
    <font>
      <b/>
      <i/>
      <sz val="11"/>
      <name val="Calibri"/>
      <family val="2"/>
    </font>
    <font>
      <sz val="11"/>
      <color rgb="FFFF0000"/>
      <name val="Calibri"/>
      <family val="2"/>
      <scheme val="minor"/>
    </font>
    <font>
      <sz val="11"/>
      <color theme="0"/>
      <name val="Calibri"/>
      <family val="2"/>
      <scheme val="minor"/>
    </font>
    <font>
      <i/>
      <sz val="11"/>
      <name val="Calibri"/>
      <family val="2"/>
    </font>
    <font>
      <b/>
      <sz val="12"/>
      <color rgb="FFC00000"/>
      <name val="Arial"/>
      <family val="2"/>
    </font>
    <font>
      <b/>
      <sz val="11"/>
      <name val="Calibri"/>
      <family val="2"/>
      <scheme val="minor"/>
    </font>
    <font>
      <u/>
      <sz val="11"/>
      <color theme="4"/>
      <name val="Calibri"/>
      <family val="2"/>
      <scheme val="minor"/>
    </font>
    <font>
      <b/>
      <u/>
      <sz val="11"/>
      <name val="Calibri"/>
      <family val="2"/>
    </font>
    <font>
      <b/>
      <u/>
      <sz val="11"/>
      <name val="Calibri"/>
      <family val="2"/>
      <scheme val="minor"/>
    </font>
    <font>
      <b/>
      <u/>
      <sz val="11"/>
      <color theme="1"/>
      <name val="Calibri"/>
      <family val="2"/>
      <scheme val="minor"/>
    </font>
    <font>
      <u/>
      <sz val="11"/>
      <color theme="0"/>
      <name val="Calibri"/>
      <family val="2"/>
      <scheme val="minor"/>
    </font>
    <font>
      <sz val="12"/>
      <color theme="7"/>
      <name val="Calibri"/>
      <family val="2"/>
      <scheme val="minor"/>
    </font>
    <font>
      <sz val="9"/>
      <color rgb="FF000000"/>
      <name val="Calibri"/>
      <family val="2"/>
      <scheme val="minor"/>
    </font>
    <font>
      <sz val="10"/>
      <color theme="1"/>
      <name val="Calibri"/>
      <family val="2"/>
      <scheme val="minor"/>
    </font>
    <font>
      <b/>
      <sz val="11"/>
      <color rgb="FFC00000"/>
      <name val="Calibri"/>
      <family val="2"/>
      <scheme val="minor"/>
    </font>
    <font>
      <sz val="10"/>
      <color rgb="FFC00000"/>
      <name val="Calibri"/>
      <family val="2"/>
    </font>
    <font>
      <b/>
      <sz val="12"/>
      <color theme="8" tint="-0.249977111117893"/>
      <name val="Calibri"/>
      <family val="2"/>
    </font>
    <font>
      <b/>
      <sz val="16"/>
      <color theme="1"/>
      <name val="Calibri"/>
      <family val="2"/>
      <scheme val="minor"/>
    </font>
    <font>
      <b/>
      <sz val="12"/>
      <name val="Arial"/>
      <family val="2"/>
    </font>
    <font>
      <u/>
      <sz val="11"/>
      <color rgb="FFC00000"/>
      <name val="Calibri"/>
      <family val="2"/>
      <scheme val="minor"/>
    </font>
    <font>
      <sz val="11"/>
      <color theme="7" tint="-0.249977111117893"/>
      <name val="Calibri"/>
      <family val="2"/>
      <scheme val="minor"/>
    </font>
    <font>
      <b/>
      <sz val="12"/>
      <color rgb="FF7030A0"/>
      <name val="Calibri"/>
      <family val="2"/>
    </font>
    <font>
      <u/>
      <sz val="12"/>
      <color rgb="FFC00000"/>
      <name val="Calibri"/>
      <family val="2"/>
    </font>
    <font>
      <b/>
      <sz val="11"/>
      <color rgb="FF0070C0"/>
      <name val="Calibri"/>
      <family val="2"/>
      <scheme val="minor"/>
    </font>
    <font>
      <b/>
      <sz val="11"/>
      <color rgb="FF7030A0"/>
      <name val="Calibri"/>
      <family val="2"/>
      <scheme val="minor"/>
    </font>
    <font>
      <u/>
      <sz val="11"/>
      <name val="Calibri"/>
      <family val="2"/>
      <scheme val="minor"/>
    </font>
    <font>
      <sz val="9"/>
      <color rgb="FF000000"/>
      <name val="Calibri"/>
      <family val="2"/>
    </font>
    <font>
      <sz val="12"/>
      <color rgb="FF000000"/>
      <name val="Calibri"/>
      <family val="2"/>
    </font>
    <font>
      <b/>
      <sz val="12"/>
      <color rgb="FFFFFFFF"/>
      <name val="Calibri"/>
      <family val="2"/>
    </font>
    <font>
      <b/>
      <sz val="12"/>
      <color rgb="FF000000"/>
      <name val="Calibri"/>
      <family val="2"/>
    </font>
    <font>
      <sz val="11"/>
      <color theme="0"/>
      <name val="Calibri"/>
      <family val="2"/>
    </font>
  </fonts>
  <fills count="3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bgColor indexed="64"/>
      </patternFill>
    </fill>
    <fill>
      <patternFill patternType="solid">
        <fgColor rgb="FF0095D3"/>
        <bgColor indexed="64"/>
      </patternFill>
    </fill>
    <fill>
      <patternFill patternType="solid">
        <fgColor theme="0" tint="-4.9989318521683403E-2"/>
        <bgColor indexed="64"/>
      </patternFill>
    </fill>
    <fill>
      <patternFill patternType="solid">
        <fgColor rgb="FF6DB33F"/>
        <bgColor indexed="64"/>
      </patternFill>
    </fill>
    <fill>
      <patternFill patternType="solid">
        <fgColor rgb="FF0069AA"/>
        <bgColor indexed="64"/>
      </patternFill>
    </fill>
    <fill>
      <patternFill patternType="solid">
        <fgColor rgb="FF003D79"/>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CCCCFF"/>
        <bgColor indexed="64"/>
      </patternFill>
    </fill>
    <fill>
      <gradientFill>
        <stop position="0">
          <color theme="0"/>
        </stop>
        <stop position="0.5">
          <color theme="5" tint="0.80001220740379042"/>
        </stop>
        <stop position="1">
          <color theme="0"/>
        </stop>
      </gradientFill>
    </fill>
    <fill>
      <patternFill patternType="solid">
        <fgColor rgb="FFFFFF00"/>
        <bgColor indexed="64"/>
      </patternFill>
    </fill>
    <fill>
      <patternFill patternType="solid">
        <fgColor theme="5" tint="0.79998168889431442"/>
        <bgColor rgb="FF000000"/>
      </patternFill>
    </fill>
    <fill>
      <patternFill patternType="solid">
        <fgColor rgb="FFFFFFFF"/>
        <bgColor rgb="FF000000"/>
      </patternFill>
    </fill>
    <fill>
      <patternFill patternType="solid">
        <fgColor rgb="FF0095D3"/>
        <bgColor rgb="FF000000"/>
      </patternFill>
    </fill>
    <fill>
      <patternFill patternType="solid">
        <fgColor rgb="FFFCE4D6"/>
        <bgColor rgb="FF000000"/>
      </patternFill>
    </fill>
    <fill>
      <patternFill patternType="solid">
        <fgColor rgb="FFFFFFCC"/>
        <bgColor rgb="FF000000"/>
      </patternFill>
    </fill>
    <fill>
      <patternFill patternType="solid">
        <fgColor rgb="FF55A52B"/>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CC"/>
        <bgColor auto="1"/>
      </patternFill>
    </fill>
    <fill>
      <patternFill patternType="solid">
        <fgColor theme="5" tint="0.79998168889431442"/>
        <bgColor auto="1"/>
      </patternFill>
    </fill>
    <fill>
      <patternFill patternType="solid">
        <fgColor theme="5"/>
        <bgColor indexed="64"/>
      </patternFill>
    </fill>
    <fill>
      <patternFill patternType="solid">
        <fgColor theme="2"/>
        <bgColor indexed="64"/>
      </patternFill>
    </fill>
    <fill>
      <patternFill patternType="solid">
        <fgColor rgb="FFFF0000"/>
        <bgColor indexed="64"/>
      </patternFill>
    </fill>
    <fill>
      <patternFill patternType="solid">
        <fgColor rgb="FFD9D9D9"/>
        <bgColor rgb="FF000000"/>
      </patternFill>
    </fill>
    <fill>
      <patternFill patternType="solid">
        <fgColor rgb="FF4472C4"/>
        <bgColor rgb="FF000000"/>
      </patternFill>
    </fill>
    <fill>
      <patternFill patternType="solid">
        <fgColor rgb="FFD0CECE"/>
        <bgColor rgb="FF000000"/>
      </patternFill>
    </fill>
    <fill>
      <patternFill patternType="solid">
        <fgColor theme="9"/>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rgb="FF0091A0"/>
      </left>
      <right style="medium">
        <color indexed="64"/>
      </right>
      <top style="medium">
        <color rgb="FF0091A0"/>
      </top>
      <bottom style="medium">
        <color rgb="FF0091A0"/>
      </bottom>
      <diagonal/>
    </border>
    <border>
      <left style="thick">
        <color rgb="FFCCCCFF"/>
      </left>
      <right/>
      <top/>
      <bottom/>
      <diagonal/>
    </border>
    <border>
      <left style="thin">
        <color indexed="64"/>
      </left>
      <right/>
      <top style="thin">
        <color indexed="64"/>
      </top>
      <bottom/>
      <diagonal/>
    </border>
    <border>
      <left/>
      <right/>
      <top/>
      <bottom style="thick">
        <color rgb="FFCCCCFF"/>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rgb="FFCCCCFF"/>
      </left>
      <right/>
      <top style="medium">
        <color rgb="FFCCCCFF"/>
      </top>
      <bottom/>
      <diagonal/>
    </border>
    <border>
      <left/>
      <right/>
      <top style="medium">
        <color rgb="FFCCCCFF"/>
      </top>
      <bottom/>
      <diagonal/>
    </border>
    <border>
      <left/>
      <right style="medium">
        <color rgb="FFCCCCFF"/>
      </right>
      <top style="medium">
        <color rgb="FFCCCCFF"/>
      </top>
      <bottom/>
      <diagonal/>
    </border>
    <border>
      <left style="medium">
        <color rgb="FFCCCCFF"/>
      </left>
      <right/>
      <top/>
      <bottom/>
      <diagonal/>
    </border>
    <border>
      <left/>
      <right style="medium">
        <color rgb="FFCCCCFF"/>
      </right>
      <top/>
      <bottom/>
      <diagonal/>
    </border>
    <border>
      <left style="medium">
        <color rgb="FFCCCCFF"/>
      </left>
      <right/>
      <top/>
      <bottom style="medium">
        <color rgb="FFCCCCFF"/>
      </bottom>
      <diagonal/>
    </border>
    <border>
      <left/>
      <right/>
      <top/>
      <bottom style="medium">
        <color rgb="FFCCCCFF"/>
      </bottom>
      <diagonal/>
    </border>
    <border>
      <left/>
      <right style="medium">
        <color rgb="FFCCCCFF"/>
      </right>
      <top/>
      <bottom style="medium">
        <color rgb="FFCCCCFF"/>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9">
    <xf numFmtId="0" fontId="0" fillId="0" borderId="0"/>
    <xf numFmtId="44" fontId="2" fillId="0" borderId="0" applyFont="0" applyFill="0" applyBorder="0" applyAlignment="0" applyProtection="0"/>
    <xf numFmtId="9" fontId="2" fillId="0" borderId="0" applyFont="0" applyFill="0" applyBorder="0" applyAlignment="0" applyProtection="0"/>
    <xf numFmtId="0" fontId="46" fillId="0" borderId="0" applyNumberFormat="0" applyFill="0" applyBorder="0" applyAlignment="0" applyProtection="0"/>
    <xf numFmtId="0" fontId="51" fillId="0" borderId="0"/>
    <xf numFmtId="0" fontId="2" fillId="0" borderId="0"/>
    <xf numFmtId="164" fontId="51" fillId="0" borderId="0" applyFont="0" applyFill="0" applyBorder="0" applyAlignment="0" applyProtection="0"/>
    <xf numFmtId="0" fontId="29" fillId="0" borderId="0" applyBorder="0"/>
    <xf numFmtId="43" fontId="2" fillId="0" borderId="0" applyFont="0" applyFill="0" applyBorder="0" applyAlignment="0" applyProtection="0"/>
  </cellStyleXfs>
  <cellXfs count="976">
    <xf numFmtId="0" fontId="0" fillId="0" borderId="0" xfId="0"/>
    <xf numFmtId="0" fontId="1" fillId="0" borderId="0" xfId="0" applyFont="1"/>
    <xf numFmtId="0" fontId="3" fillId="0" borderId="0" xfId="0" applyFont="1"/>
    <xf numFmtId="0" fontId="3" fillId="2" borderId="0" xfId="0" applyFont="1" applyFill="1"/>
    <xf numFmtId="0" fontId="5" fillId="0" borderId="0" xfId="0" applyFont="1"/>
    <xf numFmtId="0" fontId="8" fillId="0" borderId="12" xfId="0" applyFont="1" applyBorder="1"/>
    <xf numFmtId="0" fontId="8" fillId="0" borderId="10" xfId="0" applyFont="1" applyBorder="1"/>
    <xf numFmtId="0" fontId="7" fillId="0" borderId="13" xfId="0" applyFont="1" applyBorder="1" applyAlignment="1">
      <alignment horizontal="left" vertical="center" indent="1"/>
    </xf>
    <xf numFmtId="0" fontId="7" fillId="0" borderId="14" xfId="0" applyFont="1" applyBorder="1" applyAlignment="1">
      <alignment vertical="center"/>
    </xf>
    <xf numFmtId="1" fontId="3" fillId="0" borderId="0" xfId="0" applyNumberFormat="1" applyFont="1" applyAlignment="1" applyProtection="1">
      <alignment horizontal="center"/>
      <protection locked="0"/>
    </xf>
    <xf numFmtId="0" fontId="11" fillId="2" borderId="0" xfId="0" applyFont="1" applyFill="1" applyAlignment="1">
      <alignment horizontal="center" vertical="center" wrapText="1"/>
    </xf>
    <xf numFmtId="1" fontId="8" fillId="2" borderId="0" xfId="0" applyNumberFormat="1" applyFont="1" applyFill="1" applyAlignment="1" applyProtection="1">
      <alignment horizontal="center"/>
      <protection locked="0"/>
    </xf>
    <xf numFmtId="0" fontId="7" fillId="0" borderId="19" xfId="0" applyFont="1" applyBorder="1" applyAlignment="1">
      <alignment vertical="center"/>
    </xf>
    <xf numFmtId="0" fontId="12" fillId="2" borderId="0" xfId="0" applyFont="1" applyFill="1" applyAlignment="1">
      <alignment horizontal="center"/>
    </xf>
    <xf numFmtId="0" fontId="7" fillId="0" borderId="20" xfId="0" applyFont="1" applyBorder="1" applyAlignment="1">
      <alignment horizontal="left" vertical="center" indent="1"/>
    </xf>
    <xf numFmtId="0" fontId="7" fillId="0" borderId="21" xfId="0" applyFont="1" applyBorder="1" applyAlignment="1">
      <alignment vertical="center"/>
    </xf>
    <xf numFmtId="0" fontId="14" fillId="0" borderId="0" xfId="0" applyFont="1"/>
    <xf numFmtId="1" fontId="3" fillId="0" borderId="0" xfId="0" applyNumberFormat="1" applyFont="1" applyAlignment="1">
      <alignment horizontal="center"/>
    </xf>
    <xf numFmtId="0" fontId="18" fillId="0" borderId="0" xfId="0" applyFont="1"/>
    <xf numFmtId="1" fontId="10" fillId="0" borderId="0" xfId="0" applyNumberFormat="1" applyFont="1" applyAlignment="1" applyProtection="1">
      <alignment horizontal="left"/>
      <protection locked="0"/>
    </xf>
    <xf numFmtId="0" fontId="8" fillId="2" borderId="1" xfId="0" applyFont="1" applyFill="1" applyBorder="1" applyAlignment="1" applyProtection="1">
      <alignment horizontal="center" vertical="center" wrapText="1"/>
      <protection locked="0"/>
    </xf>
    <xf numFmtId="0" fontId="20" fillId="0" borderId="0" xfId="0" applyFont="1"/>
    <xf numFmtId="0" fontId="16" fillId="0" borderId="24" xfId="0" applyFont="1" applyBorder="1" applyAlignment="1">
      <alignment horizontal="left"/>
    </xf>
    <xf numFmtId="0" fontId="22" fillId="0" borderId="0" xfId="0" applyFont="1"/>
    <xf numFmtId="0" fontId="23" fillId="4" borderId="0" xfId="0" applyFont="1" applyFill="1"/>
    <xf numFmtId="165" fontId="15" fillId="9" borderId="11" xfId="0" applyNumberFormat="1" applyFont="1" applyFill="1" applyBorder="1" applyAlignment="1">
      <alignment horizontal="center"/>
    </xf>
    <xf numFmtId="165" fontId="15" fillId="9" borderId="23" xfId="0" applyNumberFormat="1" applyFont="1" applyFill="1" applyBorder="1" applyAlignment="1">
      <alignment horizontal="center"/>
    </xf>
    <xf numFmtId="0" fontId="15" fillId="9" borderId="7" xfId="0" applyFont="1" applyFill="1" applyBorder="1" applyAlignment="1">
      <alignment horizontal="left"/>
    </xf>
    <xf numFmtId="0" fontId="15" fillId="9" borderId="16" xfId="0" applyFont="1" applyFill="1" applyBorder="1" applyAlignment="1">
      <alignment horizontal="center"/>
    </xf>
    <xf numFmtId="0" fontId="15" fillId="9" borderId="25" xfId="0" applyFont="1" applyFill="1" applyBorder="1" applyAlignment="1">
      <alignment horizontal="center"/>
    </xf>
    <xf numFmtId="0" fontId="15" fillId="9" borderId="26" xfId="0" applyFont="1" applyFill="1" applyBorder="1"/>
    <xf numFmtId="165" fontId="16" fillId="5" borderId="11" xfId="0" applyNumberFormat="1" applyFont="1" applyFill="1" applyBorder="1" applyAlignment="1">
      <alignment horizontal="center"/>
    </xf>
    <xf numFmtId="165" fontId="16" fillId="5" borderId="23" xfId="0" applyNumberFormat="1" applyFont="1" applyFill="1" applyBorder="1" applyAlignment="1">
      <alignment horizontal="center"/>
    </xf>
    <xf numFmtId="0" fontId="16" fillId="5" borderId="7" xfId="0" applyFont="1" applyFill="1" applyBorder="1" applyAlignment="1">
      <alignment horizontal="left"/>
    </xf>
    <xf numFmtId="0" fontId="16" fillId="5" borderId="16" xfId="0" applyFont="1" applyFill="1" applyBorder="1" applyAlignment="1">
      <alignment horizontal="center"/>
    </xf>
    <xf numFmtId="0" fontId="16" fillId="5" borderId="25" xfId="0" applyFont="1" applyFill="1" applyBorder="1" applyAlignment="1">
      <alignment horizontal="center"/>
    </xf>
    <xf numFmtId="0" fontId="16" fillId="5" borderId="26" xfId="0" applyFont="1" applyFill="1" applyBorder="1"/>
    <xf numFmtId="0" fontId="24" fillId="0" borderId="0" xfId="0" applyFont="1"/>
    <xf numFmtId="165" fontId="16" fillId="7" borderId="11" xfId="0" applyNumberFormat="1" applyFont="1" applyFill="1" applyBorder="1" applyAlignment="1">
      <alignment horizontal="center"/>
    </xf>
    <xf numFmtId="165" fontId="16" fillId="7" borderId="23" xfId="0" applyNumberFormat="1" applyFont="1" applyFill="1" applyBorder="1" applyAlignment="1">
      <alignment horizontal="center"/>
    </xf>
    <xf numFmtId="0" fontId="16" fillId="0" borderId="13" xfId="0" applyFont="1" applyBorder="1" applyAlignment="1">
      <alignment horizontal="left"/>
    </xf>
    <xf numFmtId="0" fontId="0" fillId="0" borderId="20" xfId="0" applyBorder="1"/>
    <xf numFmtId="9" fontId="0" fillId="10" borderId="11" xfId="2" applyFont="1" applyFill="1" applyBorder="1" applyAlignment="1">
      <alignment horizontal="center"/>
    </xf>
    <xf numFmtId="0" fontId="0" fillId="0" borderId="13" xfId="0" applyBorder="1"/>
    <xf numFmtId="0" fontId="14" fillId="2" borderId="0" xfId="0" applyFont="1" applyFill="1"/>
    <xf numFmtId="1" fontId="3" fillId="0" borderId="0" xfId="0" applyNumberFormat="1" applyFont="1" applyAlignment="1" applyProtection="1">
      <alignment horizontal="left"/>
      <protection locked="0"/>
    </xf>
    <xf numFmtId="166" fontId="13" fillId="11" borderId="11" xfId="2" applyNumberFormat="1" applyFont="1" applyFill="1" applyBorder="1" applyAlignment="1" applyProtection="1">
      <alignment horizontal="center" vertical="center"/>
      <protection locked="0"/>
    </xf>
    <xf numFmtId="0" fontId="16" fillId="0" borderId="0" xfId="0" applyFont="1"/>
    <xf numFmtId="165" fontId="21" fillId="3" borderId="1" xfId="0" applyNumberFormat="1" applyFont="1" applyFill="1" applyBorder="1" applyAlignment="1">
      <alignment horizontal="center"/>
    </xf>
    <xf numFmtId="165" fontId="21" fillId="3" borderId="4" xfId="0" applyNumberFormat="1" applyFont="1" applyFill="1" applyBorder="1" applyAlignment="1">
      <alignment horizontal="center"/>
    </xf>
    <xf numFmtId="0" fontId="7" fillId="0" borderId="0" xfId="0" applyFont="1" applyAlignment="1">
      <alignment horizontal="left" vertical="center" indent="1"/>
    </xf>
    <xf numFmtId="0" fontId="7" fillId="0" borderId="22" xfId="0" applyFont="1" applyBorder="1" applyAlignment="1">
      <alignment horizontal="left" vertical="center" indent="1"/>
    </xf>
    <xf numFmtId="0" fontId="0" fillId="0" borderId="0" xfId="0" applyAlignment="1">
      <alignment horizontal="center"/>
    </xf>
    <xf numFmtId="165" fontId="0" fillId="0" borderId="0" xfId="0" applyNumberFormat="1" applyAlignment="1">
      <alignment horizontal="center"/>
    </xf>
    <xf numFmtId="0" fontId="25" fillId="4" borderId="12" xfId="0" applyFont="1" applyFill="1" applyBorder="1"/>
    <xf numFmtId="0" fontId="25" fillId="4" borderId="19" xfId="0" applyFont="1" applyFill="1" applyBorder="1"/>
    <xf numFmtId="0" fontId="10" fillId="0" borderId="0" xfId="0" applyFont="1"/>
    <xf numFmtId="0" fontId="3" fillId="0" borderId="0" xfId="0" applyFont="1" applyAlignment="1">
      <alignment horizontal="right"/>
    </xf>
    <xf numFmtId="0" fontId="8" fillId="0" borderId="0" xfId="0" applyFont="1"/>
    <xf numFmtId="14" fontId="8" fillId="0" borderId="0" xfId="0" applyNumberFormat="1" applyFont="1" applyAlignment="1">
      <alignment horizontal="left"/>
    </xf>
    <xf numFmtId="0" fontId="0" fillId="11" borderId="1" xfId="0" applyFill="1" applyBorder="1" applyAlignment="1">
      <alignment horizontal="center"/>
    </xf>
    <xf numFmtId="0" fontId="1" fillId="0" borderId="0" xfId="0" applyFont="1" applyAlignment="1">
      <alignment horizontal="center"/>
    </xf>
    <xf numFmtId="0" fontId="30" fillId="0" borderId="14" xfId="0" applyFont="1" applyBorder="1" applyAlignment="1">
      <alignment horizontal="right" vertical="center"/>
    </xf>
    <xf numFmtId="0" fontId="3" fillId="0" borderId="0" xfId="0" applyFont="1" applyAlignment="1">
      <alignment horizontal="left" indent="1"/>
    </xf>
    <xf numFmtId="165" fontId="3" fillId="0" borderId="0" xfId="0" applyNumberFormat="1" applyFont="1" applyAlignment="1">
      <alignment horizontal="right"/>
    </xf>
    <xf numFmtId="0" fontId="17" fillId="2" borderId="0" xfId="0" applyFont="1" applyFill="1" applyAlignment="1">
      <alignment horizontal="center"/>
    </xf>
    <xf numFmtId="10" fontId="3" fillId="0" borderId="0" xfId="0" applyNumberFormat="1" applyFont="1"/>
    <xf numFmtId="0" fontId="7" fillId="0" borderId="0" xfId="0" applyFont="1" applyAlignment="1">
      <alignment vertical="center"/>
    </xf>
    <xf numFmtId="165" fontId="21" fillId="3" borderId="2" xfId="0" applyNumberFormat="1" applyFont="1" applyFill="1" applyBorder="1" applyAlignment="1">
      <alignment horizontal="center"/>
    </xf>
    <xf numFmtId="165" fontId="21" fillId="3" borderId="6" xfId="0" applyNumberFormat="1" applyFont="1" applyFill="1" applyBorder="1" applyAlignment="1">
      <alignment horizontal="center"/>
    </xf>
    <xf numFmtId="0" fontId="0" fillId="0" borderId="0" xfId="0" applyAlignment="1">
      <alignment horizontal="right"/>
    </xf>
    <xf numFmtId="1" fontId="32" fillId="0" borderId="0" xfId="0" applyNumberFormat="1" applyFont="1" applyAlignment="1">
      <alignment horizontal="center"/>
    </xf>
    <xf numFmtId="0" fontId="8" fillId="5" borderId="11" xfId="0" applyFont="1" applyFill="1" applyBorder="1" applyAlignment="1">
      <alignment horizontal="center" vertical="center"/>
    </xf>
    <xf numFmtId="38" fontId="11" fillId="2" borderId="0" xfId="0" applyNumberFormat="1" applyFont="1" applyFill="1" applyAlignment="1">
      <alignment horizontal="center"/>
    </xf>
    <xf numFmtId="0" fontId="8" fillId="0" borderId="13" xfId="0" applyFont="1" applyBorder="1" applyAlignment="1">
      <alignment horizontal="left" vertical="center"/>
    </xf>
    <xf numFmtId="0" fontId="8" fillId="0" borderId="0" xfId="0" applyFont="1" applyAlignment="1">
      <alignment horizontal="left" vertical="center"/>
    </xf>
    <xf numFmtId="0" fontId="3" fillId="0" borderId="5" xfId="0" applyFont="1" applyBorder="1"/>
    <xf numFmtId="0" fontId="7" fillId="0" borderId="0" xfId="0" applyFont="1" applyAlignment="1">
      <alignment horizontal="left" vertical="center" indent="2"/>
    </xf>
    <xf numFmtId="165" fontId="7" fillId="11" borderId="15" xfId="2" applyNumberFormat="1" applyFont="1" applyFill="1" applyBorder="1" applyAlignment="1" applyProtection="1">
      <alignment horizontal="center" vertical="center"/>
      <protection locked="0"/>
    </xf>
    <xf numFmtId="0" fontId="12" fillId="0" borderId="0" xfId="0" applyFont="1" applyAlignment="1">
      <alignment horizontal="center"/>
    </xf>
    <xf numFmtId="0" fontId="36" fillId="0" borderId="0" xfId="0" applyFont="1" applyAlignment="1">
      <alignment horizontal="left" indent="1"/>
    </xf>
    <xf numFmtId="0" fontId="37" fillId="0" borderId="0" xfId="0" applyFont="1" applyAlignment="1">
      <alignment horizontal="left" indent="1"/>
    </xf>
    <xf numFmtId="0" fontId="27" fillId="0" borderId="0" xfId="0" applyFont="1" applyAlignment="1">
      <alignment horizontal="center"/>
    </xf>
    <xf numFmtId="0" fontId="26" fillId="0" borderId="0" xfId="0" applyFont="1" applyAlignment="1">
      <alignment horizontal="center"/>
    </xf>
    <xf numFmtId="0" fontId="27" fillId="0" borderId="0" xfId="0" applyFont="1" applyAlignment="1">
      <alignment horizontal="left"/>
    </xf>
    <xf numFmtId="166" fontId="13" fillId="6" borderId="1" xfId="2" applyNumberFormat="1" applyFont="1" applyFill="1" applyBorder="1" applyAlignment="1" applyProtection="1">
      <alignment horizontal="center" vertical="center"/>
      <protection locked="0"/>
    </xf>
    <xf numFmtId="165" fontId="13" fillId="6" borderId="1" xfId="2" applyNumberFormat="1" applyFont="1" applyFill="1" applyBorder="1" applyAlignment="1" applyProtection="1">
      <alignment horizontal="center" vertical="center"/>
      <protection locked="0"/>
    </xf>
    <xf numFmtId="166" fontId="7" fillId="11" borderId="11" xfId="2" applyNumberFormat="1" applyFont="1" applyFill="1" applyBorder="1" applyAlignment="1" applyProtection="1">
      <alignment horizontal="center" vertical="center"/>
      <protection locked="0"/>
    </xf>
    <xf numFmtId="168" fontId="7" fillId="11" borderId="11" xfId="2" applyNumberFormat="1" applyFont="1" applyFill="1" applyBorder="1" applyAlignment="1" applyProtection="1">
      <alignment horizontal="center" vertical="center"/>
      <protection locked="0"/>
    </xf>
    <xf numFmtId="3" fontId="7" fillId="10" borderId="15" xfId="0" applyNumberFormat="1" applyFont="1" applyFill="1" applyBorder="1" applyAlignment="1">
      <alignment horizontal="center" vertical="center"/>
    </xf>
    <xf numFmtId="0" fontId="38" fillId="0" borderId="0" xfId="0" applyFont="1"/>
    <xf numFmtId="0" fontId="39" fillId="0" borderId="7" xfId="0" applyFont="1" applyBorder="1" applyAlignment="1">
      <alignment horizontal="left" vertical="center" indent="1"/>
    </xf>
    <xf numFmtId="0" fontId="39" fillId="0" borderId="8" xfId="0" applyFont="1" applyBorder="1" applyAlignment="1">
      <alignment horizontal="left" vertical="center" indent="1"/>
    </xf>
    <xf numFmtId="0" fontId="39" fillId="0" borderId="8" xfId="0" applyFont="1" applyBorder="1" applyAlignment="1">
      <alignment vertical="center"/>
    </xf>
    <xf numFmtId="0" fontId="33" fillId="0" borderId="0" xfId="0" applyFont="1"/>
    <xf numFmtId="0" fontId="7" fillId="0" borderId="0" xfId="0" applyFont="1"/>
    <xf numFmtId="0" fontId="11" fillId="2" borderId="0" xfId="0" applyFont="1" applyFill="1" applyAlignment="1">
      <alignment horizontal="center"/>
    </xf>
    <xf numFmtId="1" fontId="7" fillId="0" borderId="0" xfId="0" applyNumberFormat="1" applyFont="1" applyAlignment="1" applyProtection="1">
      <alignment horizontal="center"/>
      <protection locked="0"/>
    </xf>
    <xf numFmtId="1" fontId="7" fillId="0" borderId="0" xfId="0" applyNumberFormat="1" applyFont="1" applyAlignment="1" applyProtection="1">
      <alignment horizontal="left"/>
      <protection locked="0"/>
    </xf>
    <xf numFmtId="0" fontId="13" fillId="0" borderId="0" xfId="0" applyFont="1"/>
    <xf numFmtId="1" fontId="7" fillId="0" borderId="0" xfId="0" applyNumberFormat="1" applyFont="1" applyAlignment="1">
      <alignment horizontal="center"/>
    </xf>
    <xf numFmtId="0" fontId="0" fillId="0" borderId="27" xfId="0" applyBorder="1"/>
    <xf numFmtId="169" fontId="22" fillId="10" borderId="11" xfId="2" applyNumberFormat="1" applyFont="1" applyFill="1" applyBorder="1" applyAlignment="1" applyProtection="1">
      <alignment horizontal="center" vertical="center"/>
      <protection locked="0"/>
    </xf>
    <xf numFmtId="0" fontId="43" fillId="0" borderId="8" xfId="0" applyFont="1" applyBorder="1" applyAlignment="1">
      <alignment horizontal="left" vertical="center" indent="1"/>
    </xf>
    <xf numFmtId="0" fontId="43" fillId="0" borderId="8" xfId="0" applyFont="1" applyBorder="1" applyAlignment="1">
      <alignment vertical="center"/>
    </xf>
    <xf numFmtId="0" fontId="44" fillId="0" borderId="0" xfId="0" applyFont="1"/>
    <xf numFmtId="0" fontId="19" fillId="0" borderId="0" xfId="0" applyFont="1"/>
    <xf numFmtId="166" fontId="41" fillId="11" borderId="11" xfId="2" applyNumberFormat="1" applyFont="1" applyFill="1" applyBorder="1" applyAlignment="1" applyProtection="1">
      <alignment horizontal="center" vertical="center"/>
    </xf>
    <xf numFmtId="0" fontId="10" fillId="0" borderId="0" xfId="0" applyFont="1" applyAlignment="1">
      <alignment horizontal="left" indent="1"/>
    </xf>
    <xf numFmtId="0" fontId="14" fillId="0" borderId="0" xfId="0" applyFont="1" applyAlignment="1">
      <alignment horizontal="left" indent="1"/>
    </xf>
    <xf numFmtId="0" fontId="12" fillId="2" borderId="0" xfId="0" applyFont="1" applyFill="1" applyAlignment="1">
      <alignment horizontal="left" indent="1"/>
    </xf>
    <xf numFmtId="1" fontId="3" fillId="0" borderId="0" xfId="0" applyNumberFormat="1" applyFont="1" applyAlignment="1">
      <alignment horizontal="left" indent="1"/>
    </xf>
    <xf numFmtId="0" fontId="7" fillId="0" borderId="14" xfId="0" applyFont="1" applyBorder="1" applyAlignment="1">
      <alignment horizontal="left" vertical="center" indent="1"/>
    </xf>
    <xf numFmtId="0" fontId="17" fillId="0" borderId="0" xfId="0" applyFont="1"/>
    <xf numFmtId="0" fontId="33" fillId="0" borderId="1" xfId="0" applyFont="1" applyBorder="1" applyAlignment="1">
      <alignment horizontal="left" indent="1"/>
    </xf>
    <xf numFmtId="170" fontId="7" fillId="0" borderId="0" xfId="0" applyNumberFormat="1" applyFont="1" applyAlignment="1">
      <alignment vertical="center"/>
    </xf>
    <xf numFmtId="169" fontId="30" fillId="0" borderId="14" xfId="0" applyNumberFormat="1" applyFont="1" applyBorder="1" applyAlignment="1">
      <alignment horizontal="right" vertical="center"/>
    </xf>
    <xf numFmtId="0" fontId="47" fillId="0" borderId="30" xfId="0" applyFont="1" applyBorder="1"/>
    <xf numFmtId="168" fontId="7" fillId="11" borderId="11" xfId="0" applyNumberFormat="1" applyFont="1" applyFill="1" applyBorder="1" applyAlignment="1" applyProtection="1">
      <alignment horizontal="center" vertical="center"/>
      <protection locked="0"/>
    </xf>
    <xf numFmtId="1" fontId="32" fillId="0" borderId="0" xfId="0" applyNumberFormat="1" applyFont="1" applyAlignment="1">
      <alignment vertical="center" wrapText="1"/>
    </xf>
    <xf numFmtId="9" fontId="0" fillId="0" borderId="0" xfId="2" applyFont="1"/>
    <xf numFmtId="9" fontId="3" fillId="11" borderId="1" xfId="2" applyFont="1" applyFill="1" applyBorder="1" applyAlignment="1" applyProtection="1">
      <alignment horizontal="center" vertical="center"/>
      <protection locked="0"/>
    </xf>
    <xf numFmtId="0" fontId="47" fillId="0" borderId="3" xfId="0" applyFont="1" applyBorder="1"/>
    <xf numFmtId="0" fontId="47" fillId="0" borderId="0" xfId="0" applyFont="1" applyAlignment="1">
      <alignment horizontal="right"/>
    </xf>
    <xf numFmtId="0" fontId="47" fillId="0" borderId="1" xfId="0" applyFont="1" applyBorder="1"/>
    <xf numFmtId="0" fontId="16" fillId="0" borderId="27" xfId="0" applyFont="1" applyBorder="1"/>
    <xf numFmtId="3" fontId="0" fillId="11" borderId="1" xfId="0" applyNumberFormat="1" applyFill="1" applyBorder="1" applyAlignment="1">
      <alignment horizontal="center"/>
    </xf>
    <xf numFmtId="165" fontId="33" fillId="0" borderId="14" xfId="0" applyNumberFormat="1" applyFont="1" applyBorder="1"/>
    <xf numFmtId="9" fontId="19" fillId="11" borderId="1" xfId="0" applyNumberFormat="1" applyFont="1" applyFill="1" applyBorder="1" applyAlignment="1">
      <alignment horizontal="center"/>
    </xf>
    <xf numFmtId="0" fontId="33" fillId="0" borderId="0" xfId="0" applyFont="1" applyAlignment="1">
      <alignment horizontal="center"/>
    </xf>
    <xf numFmtId="0" fontId="45" fillId="0" borderId="0" xfId="0" applyFont="1"/>
    <xf numFmtId="0" fontId="8" fillId="5" borderId="1" xfId="0" applyFont="1" applyFill="1" applyBorder="1" applyAlignment="1">
      <alignment horizontal="center" vertical="center" wrapText="1"/>
    </xf>
    <xf numFmtId="165" fontId="0" fillId="10" borderId="1" xfId="0" applyNumberFormat="1" applyFill="1" applyBorder="1" applyAlignment="1">
      <alignment horizontal="center"/>
    </xf>
    <xf numFmtId="0" fontId="0" fillId="0" borderId="0" xfId="0" applyAlignment="1">
      <alignment vertical="center"/>
    </xf>
    <xf numFmtId="171" fontId="3" fillId="0" borderId="0" xfId="1" applyNumberFormat="1" applyFont="1" applyAlignment="1">
      <alignment horizontal="center"/>
    </xf>
    <xf numFmtId="3" fontId="7" fillId="0" borderId="15" xfId="0" applyNumberFormat="1" applyFont="1" applyBorder="1" applyAlignment="1">
      <alignment horizontal="center" vertical="center"/>
    </xf>
    <xf numFmtId="165" fontId="7" fillId="10" borderId="15" xfId="2" applyNumberFormat="1" applyFont="1" applyFill="1" applyBorder="1" applyAlignment="1" applyProtection="1">
      <alignment horizontal="center" vertical="center"/>
    </xf>
    <xf numFmtId="165" fontId="19" fillId="10" borderId="17" xfId="0" applyNumberFormat="1" applyFont="1" applyFill="1" applyBorder="1" applyAlignment="1">
      <alignment horizontal="center"/>
    </xf>
    <xf numFmtId="3" fontId="7" fillId="0" borderId="15" xfId="0" applyNumberFormat="1" applyFont="1" applyBorder="1" applyAlignment="1" applyProtection="1">
      <alignment horizontal="center" vertical="center"/>
      <protection locked="0"/>
    </xf>
    <xf numFmtId="165" fontId="7" fillId="0" borderId="15" xfId="2" applyNumberFormat="1" applyFont="1" applyFill="1" applyBorder="1" applyAlignment="1" applyProtection="1">
      <alignment horizontal="center" vertical="center"/>
      <protection locked="0"/>
    </xf>
    <xf numFmtId="3" fontId="7" fillId="0" borderId="11" xfId="0" applyNumberFormat="1" applyFont="1" applyBorder="1" applyAlignment="1">
      <alignment horizontal="center" vertical="center"/>
    </xf>
    <xf numFmtId="165" fontId="0" fillId="10" borderId="28" xfId="0" applyNumberFormat="1" applyFill="1" applyBorder="1" applyAlignment="1">
      <alignment horizontal="center"/>
    </xf>
    <xf numFmtId="0" fontId="33" fillId="0" borderId="0" xfId="0" applyFont="1" applyAlignment="1">
      <alignment wrapText="1"/>
    </xf>
    <xf numFmtId="0" fontId="28" fillId="0" borderId="0" xfId="0" applyFont="1" applyAlignment="1">
      <alignment horizontal="left" vertical="center" indent="1"/>
    </xf>
    <xf numFmtId="165" fontId="19" fillId="10" borderId="11" xfId="0" applyNumberFormat="1" applyFont="1" applyFill="1" applyBorder="1" applyAlignment="1">
      <alignment horizontal="center"/>
    </xf>
    <xf numFmtId="165" fontId="7" fillId="0" borderId="11" xfId="2" applyNumberFormat="1" applyFont="1" applyFill="1" applyBorder="1" applyAlignment="1" applyProtection="1">
      <alignment horizontal="center" vertical="center"/>
      <protection locked="0"/>
    </xf>
    <xf numFmtId="172" fontId="12" fillId="2" borderId="0" xfId="0" applyNumberFormat="1" applyFont="1" applyFill="1" applyAlignment="1">
      <alignment horizontal="center"/>
    </xf>
    <xf numFmtId="169" fontId="39" fillId="10" borderId="11" xfId="2" applyNumberFormat="1" applyFont="1" applyFill="1" applyBorder="1" applyAlignment="1" applyProtection="1">
      <alignment horizontal="center" vertical="center"/>
      <protection locked="0"/>
    </xf>
    <xf numFmtId="165" fontId="7" fillId="0" borderId="0" xfId="0" applyNumberFormat="1" applyFont="1" applyAlignment="1">
      <alignment horizontal="center"/>
    </xf>
    <xf numFmtId="38" fontId="11" fillId="0" borderId="0" xfId="0" applyNumberFormat="1" applyFont="1" applyAlignment="1">
      <alignment horizontal="center"/>
    </xf>
    <xf numFmtId="0" fontId="41" fillId="0" borderId="0" xfId="0" applyFont="1"/>
    <xf numFmtId="0" fontId="16" fillId="11" borderId="24" xfId="0" applyFont="1" applyFill="1" applyBorder="1" applyAlignment="1">
      <alignment horizontal="left"/>
    </xf>
    <xf numFmtId="0" fontId="31" fillId="0" borderId="0" xfId="0" applyFont="1" applyAlignment="1">
      <alignment horizontal="left" vertical="center"/>
    </xf>
    <xf numFmtId="165" fontId="21" fillId="11" borderId="1" xfId="0" applyNumberFormat="1" applyFont="1" applyFill="1" applyBorder="1" applyAlignment="1">
      <alignment horizontal="center"/>
    </xf>
    <xf numFmtId="0" fontId="3" fillId="0" borderId="0" xfId="0" applyFont="1" applyAlignment="1">
      <alignment horizontal="center"/>
    </xf>
    <xf numFmtId="0" fontId="13" fillId="0" borderId="13" xfId="0" applyFont="1" applyBorder="1" applyAlignment="1">
      <alignment horizontal="left" vertical="center" indent="1"/>
    </xf>
    <xf numFmtId="0" fontId="8" fillId="0" borderId="0" xfId="0" applyFont="1" applyAlignment="1">
      <alignment horizontal="center" vertical="center"/>
    </xf>
    <xf numFmtId="165" fontId="16" fillId="10" borderId="11" xfId="0" applyNumberFormat="1" applyFont="1" applyFill="1" applyBorder="1" applyAlignment="1">
      <alignment horizontal="center"/>
    </xf>
    <xf numFmtId="166" fontId="33" fillId="11" borderId="11" xfId="2" applyNumberFormat="1" applyFont="1" applyFill="1" applyBorder="1" applyAlignment="1" applyProtection="1">
      <alignment horizontal="center" vertical="center"/>
    </xf>
    <xf numFmtId="170" fontId="7" fillId="0" borderId="0" xfId="0" applyNumberFormat="1" applyFont="1" applyAlignment="1">
      <alignment horizontal="left" vertical="center" indent="1"/>
    </xf>
    <xf numFmtId="168" fontId="7" fillId="11" borderId="15" xfId="0" applyNumberFormat="1" applyFont="1" applyFill="1" applyBorder="1" applyAlignment="1" applyProtection="1">
      <alignment horizontal="center" vertical="center"/>
      <protection locked="0"/>
    </xf>
    <xf numFmtId="166" fontId="7" fillId="0" borderId="1" xfId="2" applyNumberFormat="1" applyFont="1" applyFill="1" applyBorder="1" applyAlignment="1" applyProtection="1">
      <alignment horizontal="center" vertical="center"/>
      <protection locked="0"/>
    </xf>
    <xf numFmtId="167" fontId="13" fillId="6" borderId="1" xfId="0" applyNumberFormat="1" applyFont="1" applyFill="1" applyBorder="1" applyAlignment="1" applyProtection="1">
      <alignment horizontal="center" vertical="center"/>
      <protection locked="0"/>
    </xf>
    <xf numFmtId="165" fontId="13" fillId="6" borderId="1" xfId="0" applyNumberFormat="1" applyFont="1" applyFill="1" applyBorder="1" applyAlignment="1" applyProtection="1">
      <alignment horizontal="center" vertical="center"/>
      <protection locked="0"/>
    </xf>
    <xf numFmtId="165" fontId="7" fillId="6" borderId="1" xfId="0" applyNumberFormat="1" applyFont="1" applyFill="1" applyBorder="1" applyAlignment="1" applyProtection="1">
      <alignment horizontal="center" vertical="center"/>
      <protection locked="0"/>
    </xf>
    <xf numFmtId="0" fontId="3" fillId="0" borderId="1" xfId="0" applyFont="1" applyBorder="1" applyAlignment="1">
      <alignment horizontal="center"/>
    </xf>
    <xf numFmtId="165" fontId="13" fillId="11" borderId="15" xfId="2" applyNumberFormat="1" applyFont="1" applyFill="1" applyBorder="1" applyAlignment="1" applyProtection="1">
      <alignment horizontal="center" vertical="center"/>
      <protection locked="0"/>
    </xf>
    <xf numFmtId="167" fontId="7" fillId="11" borderId="15" xfId="0" applyNumberFormat="1" applyFont="1" applyFill="1" applyBorder="1" applyAlignment="1">
      <alignment horizontal="center" vertical="center"/>
    </xf>
    <xf numFmtId="0" fontId="9" fillId="0" borderId="0" xfId="0" applyFont="1" applyAlignment="1">
      <alignment horizontal="left" vertical="center" indent="1"/>
    </xf>
    <xf numFmtId="0" fontId="22" fillId="0" borderId="7" xfId="0" applyFont="1" applyBorder="1" applyAlignment="1">
      <alignment horizontal="left" vertical="center" indent="1"/>
    </xf>
    <xf numFmtId="0" fontId="27" fillId="0" borderId="12" xfId="0" applyFont="1" applyBorder="1"/>
    <xf numFmtId="0" fontId="27" fillId="0" borderId="13" xfId="0" applyFont="1" applyBorder="1" applyAlignment="1">
      <alignment horizontal="left" vertical="center"/>
    </xf>
    <xf numFmtId="0" fontId="13" fillId="0" borderId="0" xfId="0" applyFont="1" applyAlignment="1">
      <alignment horizontal="left" vertical="center" indent="1"/>
    </xf>
    <xf numFmtId="0" fontId="48" fillId="0" borderId="14" xfId="0" applyFont="1" applyBorder="1" applyAlignment="1">
      <alignment vertical="center"/>
    </xf>
    <xf numFmtId="0" fontId="48" fillId="0" borderId="0" xfId="0" applyFont="1" applyAlignment="1">
      <alignment horizontal="left" vertical="center" indent="1"/>
    </xf>
    <xf numFmtId="0" fontId="48" fillId="0" borderId="14" xfId="0" applyFont="1" applyBorder="1" applyAlignment="1">
      <alignment horizontal="right" vertical="center"/>
    </xf>
    <xf numFmtId="0" fontId="13" fillId="0" borderId="0" xfId="0" applyFont="1" applyAlignment="1">
      <alignment vertical="center"/>
    </xf>
    <xf numFmtId="0" fontId="27" fillId="0" borderId="0" xfId="0" applyFont="1" applyAlignment="1">
      <alignment horizontal="left" vertical="center"/>
    </xf>
    <xf numFmtId="1" fontId="8" fillId="2" borderId="0" xfId="0" applyNumberFormat="1" applyFont="1" applyFill="1" applyAlignment="1" applyProtection="1">
      <alignment horizontal="center" vertical="center"/>
      <protection locked="0"/>
    </xf>
    <xf numFmtId="0" fontId="26" fillId="12" borderId="8" xfId="0" applyFont="1" applyFill="1" applyBorder="1"/>
    <xf numFmtId="0" fontId="12" fillId="2" borderId="0" xfId="0" applyFont="1" applyFill="1" applyAlignment="1">
      <alignment horizontal="center" vertical="center"/>
    </xf>
    <xf numFmtId="38" fontId="40" fillId="2" borderId="0" xfId="0" applyNumberFormat="1" applyFont="1" applyFill="1" applyAlignment="1">
      <alignment horizontal="center" vertical="center"/>
    </xf>
    <xf numFmtId="0" fontId="33" fillId="0" borderId="27" xfId="0" applyFont="1" applyBorder="1"/>
    <xf numFmtId="9" fontId="7" fillId="11" borderId="15" xfId="2" applyFont="1" applyFill="1" applyBorder="1" applyAlignment="1">
      <alignment horizontal="center" vertical="center"/>
    </xf>
    <xf numFmtId="3" fontId="7" fillId="10" borderId="1" xfId="0" applyNumberFormat="1" applyFont="1" applyFill="1" applyBorder="1" applyAlignment="1">
      <alignment horizontal="center" vertical="center"/>
    </xf>
    <xf numFmtId="0" fontId="8" fillId="0" borderId="0" xfId="0" applyFont="1" applyAlignment="1">
      <alignment horizontal="center"/>
    </xf>
    <xf numFmtId="166" fontId="7" fillId="11" borderId="15" xfId="2" applyNumberFormat="1" applyFont="1" applyFill="1" applyBorder="1" applyAlignment="1">
      <alignment horizontal="center" vertical="center"/>
    </xf>
    <xf numFmtId="165" fontId="13" fillId="10" borderId="15" xfId="2" applyNumberFormat="1" applyFont="1" applyFill="1" applyBorder="1" applyAlignment="1" applyProtection="1">
      <alignment horizontal="center" vertical="center"/>
      <protection locked="0"/>
    </xf>
    <xf numFmtId="167" fontId="7" fillId="10" borderId="15" xfId="2" applyNumberFormat="1" applyFont="1" applyFill="1" applyBorder="1" applyAlignment="1" applyProtection="1">
      <alignment horizontal="center" vertical="center"/>
    </xf>
    <xf numFmtId="167" fontId="7" fillId="11" borderId="15" xfId="2" applyNumberFormat="1" applyFont="1" applyFill="1" applyBorder="1" applyAlignment="1" applyProtection="1">
      <alignment horizontal="center" vertical="center"/>
    </xf>
    <xf numFmtId="166" fontId="41" fillId="11" borderId="11" xfId="0" applyNumberFormat="1" applyFont="1" applyFill="1" applyBorder="1" applyAlignment="1">
      <alignment horizontal="center" vertical="center"/>
    </xf>
    <xf numFmtId="9" fontId="7" fillId="10" borderId="15" xfId="2" applyFont="1" applyFill="1" applyBorder="1" applyAlignment="1">
      <alignment horizontal="center" vertical="center"/>
    </xf>
    <xf numFmtId="0" fontId="7" fillId="0" borderId="4" xfId="0" applyFont="1" applyBorder="1"/>
    <xf numFmtId="0" fontId="50" fillId="0" borderId="0" xfId="0" applyFont="1"/>
    <xf numFmtId="0" fontId="52" fillId="0" borderId="0" xfId="0" applyFont="1" applyAlignment="1" applyProtection="1">
      <alignment horizontal="center"/>
      <protection locked="0"/>
    </xf>
    <xf numFmtId="0" fontId="30" fillId="0" borderId="0" xfId="0" applyFont="1"/>
    <xf numFmtId="0" fontId="7" fillId="3" borderId="1" xfId="0" applyFont="1" applyFill="1" applyBorder="1"/>
    <xf numFmtId="0" fontId="53" fillId="0" borderId="0" xfId="0" applyFont="1"/>
    <xf numFmtId="0" fontId="7" fillId="11" borderId="1" xfId="0" applyFont="1" applyFill="1" applyBorder="1"/>
    <xf numFmtId="0" fontId="7" fillId="0" borderId="1" xfId="0" applyFont="1" applyBorder="1"/>
    <xf numFmtId="0" fontId="7" fillId="10" borderId="1" xfId="0" applyFont="1" applyFill="1" applyBorder="1"/>
    <xf numFmtId="0" fontId="7" fillId="16" borderId="1" xfId="0" applyFont="1" applyFill="1" applyBorder="1"/>
    <xf numFmtId="0" fontId="7" fillId="2" borderId="0" xfId="0" applyFont="1" applyFill="1"/>
    <xf numFmtId="0" fontId="8" fillId="2" borderId="0" xfId="0" quotePrefix="1" applyFont="1" applyFill="1" applyAlignment="1">
      <alignment horizontal="left" vertical="center"/>
    </xf>
    <xf numFmtId="165" fontId="13" fillId="10" borderId="11" xfId="0" applyNumberFormat="1" applyFont="1" applyFill="1" applyBorder="1" applyAlignment="1" applyProtection="1">
      <alignment horizontal="center" vertical="center"/>
      <protection locked="0"/>
    </xf>
    <xf numFmtId="0" fontId="22" fillId="0" borderId="0" xfId="0" applyFont="1" applyAlignment="1">
      <alignment horizontal="center"/>
    </xf>
    <xf numFmtId="0" fontId="7" fillId="0" borderId="0" xfId="0" applyFont="1" applyAlignment="1">
      <alignment horizontal="center"/>
    </xf>
    <xf numFmtId="0" fontId="27" fillId="12" borderId="8" xfId="0" applyFont="1" applyFill="1" applyBorder="1"/>
    <xf numFmtId="1" fontId="31" fillId="0" borderId="0" xfId="0" applyNumberFormat="1" applyFont="1" applyAlignment="1">
      <alignment vertical="center" wrapText="1"/>
    </xf>
    <xf numFmtId="165" fontId="7" fillId="10" borderId="1" xfId="0" applyNumberFormat="1" applyFont="1" applyFill="1" applyBorder="1" applyAlignment="1">
      <alignment horizontal="center" wrapText="1"/>
    </xf>
    <xf numFmtId="12" fontId="54" fillId="0" borderId="0" xfId="3" applyNumberFormat="1" applyFont="1" applyFill="1" applyAlignment="1">
      <alignment vertical="center"/>
    </xf>
    <xf numFmtId="0" fontId="9" fillId="0" borderId="0" xfId="0" applyFont="1"/>
    <xf numFmtId="0" fontId="13" fillId="2" borderId="0" xfId="0" applyFont="1" applyFill="1"/>
    <xf numFmtId="172" fontId="11" fillId="2" borderId="0" xfId="0" applyNumberFormat="1" applyFont="1" applyFill="1" applyAlignment="1">
      <alignment horizontal="center"/>
    </xf>
    <xf numFmtId="0" fontId="55" fillId="0" borderId="0" xfId="0" applyFont="1" applyAlignment="1">
      <alignment horizontal="center"/>
    </xf>
    <xf numFmtId="0" fontId="7" fillId="0" borderId="4" xfId="0" applyFont="1" applyBorder="1" applyAlignment="1">
      <alignment horizontal="left" vertical="center" indent="1"/>
    </xf>
    <xf numFmtId="3" fontId="33" fillId="0" borderId="1" xfId="0" applyNumberFormat="1" applyFont="1" applyBorder="1" applyAlignment="1">
      <alignment horizontal="center"/>
    </xf>
    <xf numFmtId="0" fontId="33" fillId="0" borderId="4" xfId="0" applyFont="1" applyBorder="1" applyAlignment="1">
      <alignment horizontal="left" indent="1"/>
    </xf>
    <xf numFmtId="166" fontId="13" fillId="10" borderId="1" xfId="2" applyNumberFormat="1" applyFont="1" applyFill="1" applyBorder="1" applyAlignment="1" applyProtection="1">
      <alignment horizontal="center" vertical="center"/>
      <protection locked="0"/>
    </xf>
    <xf numFmtId="0" fontId="33" fillId="14" borderId="0" xfId="0" applyFont="1" applyFill="1"/>
    <xf numFmtId="10" fontId="45" fillId="0" borderId="0" xfId="2" applyNumberFormat="1" applyFont="1"/>
    <xf numFmtId="0" fontId="33" fillId="0" borderId="4" xfId="0" applyFont="1" applyBorder="1" applyAlignment="1">
      <alignment horizontal="left"/>
    </xf>
    <xf numFmtId="0" fontId="7" fillId="0" borderId="27" xfId="0" applyFont="1" applyBorder="1"/>
    <xf numFmtId="0" fontId="7" fillId="0" borderId="4" xfId="0" applyFont="1" applyBorder="1" applyAlignment="1">
      <alignment horizontal="left" vertical="center"/>
    </xf>
    <xf numFmtId="166" fontId="33" fillId="10" borderId="1" xfId="2" applyNumberFormat="1" applyFont="1" applyFill="1" applyBorder="1" applyAlignment="1">
      <alignment horizontal="center"/>
    </xf>
    <xf numFmtId="166" fontId="33" fillId="0" borderId="0" xfId="2" applyNumberFormat="1" applyFont="1" applyFill="1" applyBorder="1" applyAlignment="1">
      <alignment horizontal="center"/>
    </xf>
    <xf numFmtId="1" fontId="7" fillId="0" borderId="0" xfId="0" applyNumberFormat="1" applyFont="1" applyAlignment="1" applyProtection="1">
      <alignment horizontal="center" vertical="center"/>
      <protection locked="0"/>
    </xf>
    <xf numFmtId="0" fontId="7" fillId="0" borderId="1" xfId="0" applyFont="1" applyBorder="1" applyAlignment="1">
      <alignment horizontal="left" vertical="center" indent="1"/>
    </xf>
    <xf numFmtId="3" fontId="13" fillId="0" borderId="3" xfId="0" applyNumberFormat="1" applyFont="1" applyBorder="1" applyAlignment="1" applyProtection="1">
      <alignment horizontal="center" vertical="center"/>
      <protection locked="0"/>
    </xf>
    <xf numFmtId="3" fontId="13" fillId="0" borderId="1" xfId="0" applyNumberFormat="1" applyFont="1" applyBorder="1" applyAlignment="1" applyProtection="1">
      <alignment horizontal="center" vertical="center"/>
      <protection locked="0"/>
    </xf>
    <xf numFmtId="3" fontId="7" fillId="0" borderId="1" xfId="0" applyNumberFormat="1" applyFont="1" applyBorder="1" applyAlignment="1" applyProtection="1">
      <alignment horizontal="center" vertical="center"/>
      <protection locked="0"/>
    </xf>
    <xf numFmtId="3" fontId="13" fillId="0" borderId="30" xfId="0" applyNumberFormat="1" applyFont="1" applyBorder="1" applyAlignment="1" applyProtection="1">
      <alignment horizontal="center" vertical="center"/>
      <protection locked="0"/>
    </xf>
    <xf numFmtId="0" fontId="33" fillId="0" borderId="1" xfId="0" applyFont="1" applyBorder="1" applyAlignment="1">
      <alignment horizontal="center"/>
    </xf>
    <xf numFmtId="0" fontId="33" fillId="0" borderId="0" xfId="0" applyFont="1" applyAlignment="1">
      <alignment horizontal="left" vertical="center"/>
    </xf>
    <xf numFmtId="0" fontId="33" fillId="0" borderId="5" xfId="0" applyFont="1" applyBorder="1"/>
    <xf numFmtId="165" fontId="7" fillId="10" borderId="1" xfId="0" applyNumberFormat="1" applyFont="1" applyFill="1" applyBorder="1" applyAlignment="1" applyProtection="1">
      <alignment horizontal="center" vertical="center"/>
      <protection locked="0"/>
    </xf>
    <xf numFmtId="1" fontId="33" fillId="0" borderId="0" xfId="0" applyNumberFormat="1" applyFont="1"/>
    <xf numFmtId="2" fontId="33" fillId="0" borderId="0" xfId="0" applyNumberFormat="1" applyFont="1"/>
    <xf numFmtId="0" fontId="33" fillId="0" borderId="1" xfId="0" applyFont="1" applyBorder="1"/>
    <xf numFmtId="3" fontId="13" fillId="11" borderId="1" xfId="0" applyNumberFormat="1" applyFont="1" applyFill="1" applyBorder="1" applyAlignment="1" applyProtection="1">
      <alignment horizontal="center" vertical="center"/>
      <protection locked="0"/>
    </xf>
    <xf numFmtId="3" fontId="13" fillId="10" borderId="1" xfId="0" applyNumberFormat="1" applyFont="1" applyFill="1" applyBorder="1" applyAlignment="1" applyProtection="1">
      <alignment horizontal="center" vertical="center"/>
      <protection locked="0"/>
    </xf>
    <xf numFmtId="7" fontId="7" fillId="0" borderId="0" xfId="1" applyNumberFormat="1" applyFont="1" applyFill="1" applyBorder="1" applyAlignment="1" applyProtection="1">
      <alignment horizontal="center" vertical="center"/>
      <protection locked="0"/>
    </xf>
    <xf numFmtId="0" fontId="13" fillId="0" borderId="1" xfId="0" applyFont="1" applyBorder="1" applyAlignment="1">
      <alignment horizontal="left" vertical="center" indent="1"/>
    </xf>
    <xf numFmtId="4" fontId="13" fillId="10" borderId="1" xfId="0" applyNumberFormat="1" applyFont="1" applyFill="1" applyBorder="1" applyAlignment="1" applyProtection="1">
      <alignment horizontal="center" vertical="center"/>
      <protection locked="0"/>
    </xf>
    <xf numFmtId="0" fontId="7" fillId="0" borderId="0" xfId="0" applyFont="1" applyAlignment="1">
      <alignment horizontal="center" vertical="center"/>
    </xf>
    <xf numFmtId="0" fontId="13" fillId="0" borderId="4" xfId="0" applyFont="1" applyBorder="1" applyAlignment="1">
      <alignment horizontal="left" vertical="center" wrapText="1" indent="1"/>
    </xf>
    <xf numFmtId="3" fontId="13" fillId="6" borderId="1" xfId="0" applyNumberFormat="1" applyFont="1" applyFill="1" applyBorder="1" applyAlignment="1" applyProtection="1">
      <alignment horizontal="center" vertical="center"/>
      <protection locked="0"/>
    </xf>
    <xf numFmtId="3" fontId="13" fillId="13" borderId="1" xfId="0" applyNumberFormat="1" applyFont="1" applyFill="1" applyBorder="1" applyAlignment="1" applyProtection="1">
      <alignment horizontal="center" vertical="center"/>
      <protection locked="0"/>
    </xf>
    <xf numFmtId="165" fontId="7" fillId="11" borderId="1" xfId="0" applyNumberFormat="1" applyFont="1" applyFill="1" applyBorder="1" applyAlignment="1" applyProtection="1">
      <alignment horizontal="center" vertical="center"/>
      <protection locked="0"/>
    </xf>
    <xf numFmtId="0" fontId="33" fillId="0" borderId="4" xfId="0" applyFont="1" applyBorder="1"/>
    <xf numFmtId="164" fontId="33" fillId="0" borderId="0" xfId="0" applyNumberFormat="1" applyFont="1"/>
    <xf numFmtId="4" fontId="33" fillId="0" borderId="0" xfId="0" applyNumberFormat="1" applyFont="1"/>
    <xf numFmtId="5" fontId="41" fillId="10" borderId="1" xfId="1" applyNumberFormat="1" applyFont="1" applyFill="1" applyBorder="1" applyAlignment="1">
      <alignment horizontal="center"/>
    </xf>
    <xf numFmtId="0" fontId="41" fillId="0" borderId="1" xfId="0" applyFont="1" applyBorder="1"/>
    <xf numFmtId="7" fontId="7" fillId="10" borderId="1" xfId="1" applyNumberFormat="1" applyFont="1" applyFill="1" applyBorder="1" applyAlignment="1" applyProtection="1">
      <alignment horizontal="center" vertical="center"/>
      <protection locked="0"/>
    </xf>
    <xf numFmtId="0" fontId="7" fillId="0" borderId="0" xfId="0" applyFont="1" applyAlignment="1">
      <alignment horizontal="left" indent="1"/>
    </xf>
    <xf numFmtId="0" fontId="7" fillId="0" borderId="0" xfId="0" applyFont="1" applyAlignment="1">
      <alignment horizontal="right"/>
    </xf>
    <xf numFmtId="171" fontId="7" fillId="0" borderId="0" xfId="1" applyNumberFormat="1" applyFont="1" applyAlignment="1">
      <alignment horizontal="center"/>
    </xf>
    <xf numFmtId="0" fontId="22" fillId="0" borderId="8" xfId="0" applyFont="1" applyBorder="1" applyAlignment="1">
      <alignment horizontal="left" vertical="center" indent="1"/>
    </xf>
    <xf numFmtId="165" fontId="13" fillId="0" borderId="31" xfId="2" applyNumberFormat="1" applyFont="1" applyFill="1" applyBorder="1" applyAlignment="1" applyProtection="1">
      <alignment horizontal="center" vertical="center"/>
      <protection locked="0"/>
    </xf>
    <xf numFmtId="0" fontId="0" fillId="0" borderId="4" xfId="0" applyBorder="1" applyAlignment="1">
      <alignment horizontal="left" indent="1"/>
    </xf>
    <xf numFmtId="0" fontId="3" fillId="0" borderId="27" xfId="0" applyFont="1" applyBorder="1"/>
    <xf numFmtId="1" fontId="8" fillId="0" borderId="0" xfId="0" applyNumberFormat="1" applyFont="1" applyAlignment="1" applyProtection="1">
      <alignment horizontal="center"/>
      <protection locked="0"/>
    </xf>
    <xf numFmtId="0" fontId="57" fillId="0" borderId="0" xfId="0" applyFont="1"/>
    <xf numFmtId="0" fontId="33" fillId="11" borderId="1" xfId="0" applyFont="1" applyFill="1" applyBorder="1" applyAlignment="1">
      <alignment horizontal="center"/>
    </xf>
    <xf numFmtId="165" fontId="7" fillId="11" borderId="3" xfId="0" applyNumberFormat="1" applyFont="1" applyFill="1" applyBorder="1" applyAlignment="1" applyProtection="1">
      <alignment horizontal="center" vertical="center"/>
      <protection locked="0"/>
    </xf>
    <xf numFmtId="0" fontId="41" fillId="11" borderId="1" xfId="0" applyFont="1" applyFill="1" applyBorder="1" applyAlignment="1">
      <alignment horizontal="center" wrapText="1"/>
    </xf>
    <xf numFmtId="166" fontId="41" fillId="11" borderId="5" xfId="0" applyNumberFormat="1" applyFont="1" applyFill="1" applyBorder="1" applyAlignment="1">
      <alignment horizontal="center"/>
    </xf>
    <xf numFmtId="165" fontId="0" fillId="3" borderId="1" xfId="0" applyNumberFormat="1" applyFill="1" applyBorder="1" applyAlignment="1">
      <alignment horizontal="center"/>
    </xf>
    <xf numFmtId="0" fontId="23" fillId="4" borderId="0" xfId="0" applyFont="1" applyFill="1" applyAlignment="1">
      <alignment horizontal="center"/>
    </xf>
    <xf numFmtId="0" fontId="60" fillId="0" borderId="0" xfId="0" applyFont="1"/>
    <xf numFmtId="9" fontId="0" fillId="0" borderId="0" xfId="2" applyFont="1" applyAlignment="1">
      <alignment horizontal="center"/>
    </xf>
    <xf numFmtId="1" fontId="0" fillId="0" borderId="0" xfId="0" applyNumberFormat="1" applyAlignment="1">
      <alignment horizontal="center"/>
    </xf>
    <xf numFmtId="0" fontId="19" fillId="10" borderId="11" xfId="0" applyFont="1" applyFill="1" applyBorder="1" applyAlignment="1">
      <alignment horizontal="center"/>
    </xf>
    <xf numFmtId="0" fontId="42" fillId="15" borderId="32" xfId="0" applyFont="1" applyFill="1" applyBorder="1"/>
    <xf numFmtId="0" fontId="33" fillId="0" borderId="32" xfId="0" applyFont="1" applyBorder="1"/>
    <xf numFmtId="0" fontId="56" fillId="0" borderId="32" xfId="0" applyFont="1" applyBorder="1"/>
    <xf numFmtId="0" fontId="7" fillId="0" borderId="32" xfId="0" applyFont="1" applyBorder="1"/>
    <xf numFmtId="0" fontId="30" fillId="0" borderId="32" xfId="0" applyFont="1" applyBorder="1"/>
    <xf numFmtId="0" fontId="44" fillId="0" borderId="32" xfId="0" applyFont="1" applyBorder="1"/>
    <xf numFmtId="0" fontId="31" fillId="0" borderId="0" xfId="0" applyFont="1"/>
    <xf numFmtId="0" fontId="7" fillId="0" borderId="0" xfId="0" applyFont="1" applyAlignment="1">
      <alignment horizontal="left" vertical="center"/>
    </xf>
    <xf numFmtId="165" fontId="28" fillId="4" borderId="9" xfId="0" applyNumberFormat="1" applyFont="1" applyFill="1" applyBorder="1" applyAlignment="1">
      <alignment horizontal="center"/>
    </xf>
    <xf numFmtId="165" fontId="13" fillId="3" borderId="11" xfId="0" applyNumberFormat="1" applyFont="1" applyFill="1" applyBorder="1" applyAlignment="1" applyProtection="1">
      <alignment horizontal="center" vertical="center"/>
      <protection locked="0"/>
    </xf>
    <xf numFmtId="0" fontId="33" fillId="0" borderId="34" xfId="0" applyFont="1" applyBorder="1"/>
    <xf numFmtId="0" fontId="61" fillId="0" borderId="0" xfId="3" applyFont="1"/>
    <xf numFmtId="0" fontId="3" fillId="0" borderId="0" xfId="0" applyFont="1" applyAlignment="1">
      <alignment vertical="center"/>
    </xf>
    <xf numFmtId="0" fontId="62" fillId="0" borderId="0" xfId="0" applyFont="1" applyProtection="1">
      <protection locked="0"/>
    </xf>
    <xf numFmtId="3" fontId="7" fillId="11" borderId="11" xfId="2" applyNumberFormat="1" applyFont="1" applyFill="1" applyBorder="1" applyAlignment="1" applyProtection="1">
      <alignment horizontal="center" vertical="center"/>
      <protection locked="0"/>
    </xf>
    <xf numFmtId="165" fontId="7" fillId="11" borderId="11" xfId="0" applyNumberFormat="1" applyFont="1" applyFill="1" applyBorder="1" applyAlignment="1" applyProtection="1">
      <alignment horizontal="center" vertical="center"/>
      <protection locked="0"/>
    </xf>
    <xf numFmtId="38" fontId="11" fillId="2" borderId="0" xfId="0" applyNumberFormat="1" applyFont="1" applyFill="1" applyAlignment="1">
      <alignment horizontal="center" vertical="center"/>
    </xf>
    <xf numFmtId="38" fontId="63" fillId="2" borderId="0" xfId="0" applyNumberFormat="1" applyFont="1" applyFill="1" applyAlignment="1">
      <alignment horizontal="center" vertical="center"/>
    </xf>
    <xf numFmtId="0" fontId="7" fillId="2" borderId="0" xfId="0" applyFont="1" applyFill="1" applyAlignment="1">
      <alignment vertical="center" wrapText="1"/>
    </xf>
    <xf numFmtId="0" fontId="27" fillId="12" borderId="9" xfId="0" applyFont="1" applyFill="1" applyBorder="1"/>
    <xf numFmtId="0" fontId="0" fillId="0" borderId="1" xfId="0" applyBorder="1"/>
    <xf numFmtId="3" fontId="14" fillId="0" borderId="1" xfId="0" applyNumberFormat="1" applyFont="1" applyBorder="1" applyAlignment="1" applyProtection="1">
      <alignment horizontal="center" vertical="center"/>
      <protection locked="0"/>
    </xf>
    <xf numFmtId="168" fontId="14" fillId="11" borderId="1" xfId="0" applyNumberFormat="1" applyFont="1" applyFill="1" applyBorder="1" applyAlignment="1" applyProtection="1">
      <alignment horizontal="center" vertical="center"/>
      <protection locked="0"/>
    </xf>
    <xf numFmtId="3" fontId="14" fillId="10" borderId="1" xfId="0" applyNumberFormat="1" applyFont="1" applyFill="1" applyBorder="1" applyAlignment="1" applyProtection="1">
      <alignment horizontal="center" vertical="center"/>
      <protection locked="0"/>
    </xf>
    <xf numFmtId="0" fontId="28" fillId="12" borderId="4" xfId="0" applyFont="1" applyFill="1" applyBorder="1" applyAlignment="1">
      <alignment vertical="center"/>
    </xf>
    <xf numFmtId="0" fontId="28" fillId="12" borderId="27" xfId="0" applyFont="1" applyFill="1" applyBorder="1" applyAlignment="1">
      <alignment vertical="center"/>
    </xf>
    <xf numFmtId="0" fontId="28" fillId="12" borderId="5" xfId="0" applyFont="1" applyFill="1" applyBorder="1" applyAlignment="1">
      <alignment vertical="center"/>
    </xf>
    <xf numFmtId="3" fontId="14" fillId="0" borderId="0" xfId="0" applyNumberFormat="1" applyFont="1" applyAlignment="1" applyProtection="1">
      <alignment horizontal="center" vertical="center"/>
      <protection locked="0"/>
    </xf>
    <xf numFmtId="0" fontId="30" fillId="0" borderId="0" xfId="0" applyFont="1" applyAlignment="1">
      <alignment horizontal="center"/>
    </xf>
    <xf numFmtId="0" fontId="42" fillId="0" borderId="0" xfId="0" applyFont="1" applyAlignment="1">
      <alignment horizontal="left"/>
    </xf>
    <xf numFmtId="0" fontId="64" fillId="0" borderId="0" xfId="0" applyFont="1" applyAlignment="1">
      <alignment vertical="center"/>
    </xf>
    <xf numFmtId="0" fontId="39" fillId="0" borderId="12" xfId="0" applyFont="1" applyBorder="1"/>
    <xf numFmtId="0" fontId="64" fillId="0" borderId="10" xfId="0" applyFont="1" applyBorder="1"/>
    <xf numFmtId="0" fontId="39" fillId="20" borderId="11" xfId="0" applyFont="1" applyFill="1" applyBorder="1" applyAlignment="1">
      <alignment horizontal="center" vertical="center"/>
    </xf>
    <xf numFmtId="0" fontId="39" fillId="19" borderId="0" xfId="0" applyFont="1" applyFill="1" applyAlignment="1">
      <alignment horizontal="center"/>
    </xf>
    <xf numFmtId="0" fontId="41" fillId="0" borderId="13" xfId="0" applyFont="1" applyBorder="1" applyAlignment="1">
      <alignment horizontal="left" indent="1"/>
    </xf>
    <xf numFmtId="0" fontId="64" fillId="0" borderId="0" xfId="0" applyFont="1"/>
    <xf numFmtId="6" fontId="65" fillId="10" borderId="11" xfId="0" applyNumberFormat="1" applyFont="1" applyFill="1" applyBorder="1" applyAlignment="1">
      <alignment horizontal="center" vertical="center"/>
    </xf>
    <xf numFmtId="173" fontId="40" fillId="0" borderId="0" xfId="0" applyNumberFormat="1" applyFont="1" applyAlignment="1">
      <alignment horizontal="center" vertical="center"/>
    </xf>
    <xf numFmtId="0" fontId="64" fillId="0" borderId="14" xfId="0" applyFont="1" applyBorder="1"/>
    <xf numFmtId="166" fontId="41" fillId="18" borderId="11" xfId="0" applyNumberFormat="1" applyFont="1" applyFill="1" applyBorder="1" applyAlignment="1">
      <alignment horizontal="center" vertical="center"/>
    </xf>
    <xf numFmtId="0" fontId="40" fillId="0" borderId="0" xfId="0" applyFont="1" applyAlignment="1">
      <alignment horizontal="center" vertical="center"/>
    </xf>
    <xf numFmtId="6" fontId="41" fillId="21" borderId="15" xfId="0" applyNumberFormat="1" applyFont="1" applyFill="1" applyBorder="1" applyAlignment="1">
      <alignment horizontal="center" vertical="center"/>
    </xf>
    <xf numFmtId="0" fontId="44" fillId="0" borderId="0" xfId="0" applyFont="1" applyAlignment="1">
      <alignment horizontal="right"/>
    </xf>
    <xf numFmtId="6" fontId="41" fillId="22" borderId="15" xfId="0" applyNumberFormat="1" applyFont="1" applyFill="1" applyBorder="1" applyAlignment="1">
      <alignment horizontal="center" vertical="center"/>
    </xf>
    <xf numFmtId="166" fontId="41" fillId="11" borderId="11" xfId="2" applyNumberFormat="1" applyFont="1" applyFill="1" applyBorder="1" applyAlignment="1">
      <alignment horizontal="center" vertical="center"/>
    </xf>
    <xf numFmtId="166" fontId="41" fillId="21" borderId="11" xfId="2" applyNumberFormat="1" applyFont="1" applyFill="1" applyBorder="1" applyAlignment="1">
      <alignment horizontal="center" vertical="center"/>
    </xf>
    <xf numFmtId="6" fontId="65" fillId="10" borderId="15" xfId="0" applyNumberFormat="1" applyFont="1" applyFill="1" applyBorder="1" applyAlignment="1">
      <alignment horizontal="center" vertical="center"/>
    </xf>
    <xf numFmtId="0" fontId="41" fillId="0" borderId="13" xfId="0" applyFont="1" applyBorder="1"/>
    <xf numFmtId="3" fontId="33" fillId="21" borderId="15" xfId="0" applyNumberFormat="1" applyFont="1" applyFill="1" applyBorder="1" applyAlignment="1">
      <alignment horizontal="center" vertical="center"/>
    </xf>
    <xf numFmtId="0" fontId="3" fillId="0" borderId="36" xfId="0" applyFont="1" applyBorder="1"/>
    <xf numFmtId="0" fontId="3" fillId="0" borderId="37" xfId="0" applyFont="1" applyBorder="1"/>
    <xf numFmtId="0" fontId="3" fillId="0" borderId="38" xfId="0" applyFont="1" applyBorder="1"/>
    <xf numFmtId="0" fontId="3" fillId="0" borderId="40" xfId="0" applyFont="1" applyBorder="1"/>
    <xf numFmtId="0" fontId="0" fillId="0" borderId="40" xfId="0" applyBorder="1"/>
    <xf numFmtId="0" fontId="3" fillId="0" borderId="41" xfId="0" applyFont="1" applyBorder="1"/>
    <xf numFmtId="165" fontId="7" fillId="10" borderId="11" xfId="0" applyNumberFormat="1" applyFont="1" applyFill="1" applyBorder="1" applyAlignment="1" applyProtection="1">
      <alignment horizontal="center" vertical="center"/>
      <protection locked="0"/>
    </xf>
    <xf numFmtId="0" fontId="66" fillId="2" borderId="0" xfId="0" applyFont="1" applyFill="1" applyAlignment="1">
      <alignment horizontal="center" vertical="center" wrapText="1"/>
    </xf>
    <xf numFmtId="0" fontId="11" fillId="2" borderId="0" xfId="0" applyFont="1" applyFill="1" applyAlignment="1">
      <alignment horizontal="center" wrapText="1"/>
    </xf>
    <xf numFmtId="0" fontId="10" fillId="0" borderId="0" xfId="0" applyFont="1" applyAlignment="1">
      <alignment horizontal="center"/>
    </xf>
    <xf numFmtId="38" fontId="63" fillId="0" borderId="0" xfId="0" applyNumberFormat="1" applyFont="1" applyAlignment="1">
      <alignment horizontal="center"/>
    </xf>
    <xf numFmtId="0" fontId="44" fillId="0" borderId="0" xfId="0" applyFont="1" applyAlignment="1">
      <alignment horizontal="left" vertical="top"/>
    </xf>
    <xf numFmtId="0" fontId="39" fillId="0" borderId="0" xfId="0" applyFont="1" applyAlignment="1">
      <alignment horizontal="center"/>
    </xf>
    <xf numFmtId="0" fontId="27" fillId="5" borderId="11" xfId="0" applyFont="1" applyFill="1" applyBorder="1" applyAlignment="1">
      <alignment horizontal="center" vertical="center"/>
    </xf>
    <xf numFmtId="166" fontId="13" fillId="11" borderId="11" xfId="0" applyNumberFormat="1" applyFont="1" applyFill="1" applyBorder="1" applyAlignment="1" applyProtection="1">
      <alignment horizontal="center" vertical="center"/>
      <protection locked="0"/>
    </xf>
    <xf numFmtId="168" fontId="13" fillId="11" borderId="15" xfId="0" applyNumberFormat="1" applyFont="1" applyFill="1" applyBorder="1" applyAlignment="1">
      <alignment horizontal="center" vertical="center"/>
    </xf>
    <xf numFmtId="167" fontId="13" fillId="11" borderId="15" xfId="0" applyNumberFormat="1" applyFont="1" applyFill="1" applyBorder="1" applyAlignment="1">
      <alignment horizontal="center" vertical="center"/>
    </xf>
    <xf numFmtId="3" fontId="11" fillId="2" borderId="0" xfId="0" applyNumberFormat="1" applyFont="1" applyFill="1" applyAlignment="1">
      <alignment horizontal="center"/>
    </xf>
    <xf numFmtId="38" fontId="63" fillId="2" borderId="0" xfId="0" applyNumberFormat="1" applyFont="1" applyFill="1" applyAlignment="1">
      <alignment horizontal="center"/>
    </xf>
    <xf numFmtId="0" fontId="28" fillId="12" borderId="7" xfId="0" applyFont="1" applyFill="1" applyBorder="1" applyAlignment="1">
      <alignment vertical="center"/>
    </xf>
    <xf numFmtId="0" fontId="28" fillId="12" borderId="8" xfId="0" applyFont="1" applyFill="1" applyBorder="1" applyAlignment="1">
      <alignment vertical="center"/>
    </xf>
    <xf numFmtId="0" fontId="28" fillId="12" borderId="9" xfId="0" applyFont="1" applyFill="1" applyBorder="1" applyAlignment="1">
      <alignment vertical="center"/>
    </xf>
    <xf numFmtId="3" fontId="7" fillId="0" borderId="11" xfId="2" applyNumberFormat="1" applyFont="1" applyFill="1" applyBorder="1" applyAlignment="1" applyProtection="1">
      <alignment horizontal="center" vertical="center"/>
      <protection locked="0"/>
    </xf>
    <xf numFmtId="3" fontId="13" fillId="11" borderId="15" xfId="0" applyNumberFormat="1" applyFont="1" applyFill="1" applyBorder="1" applyAlignment="1">
      <alignment horizontal="center" vertical="center"/>
    </xf>
    <xf numFmtId="0" fontId="6" fillId="12" borderId="7" xfId="0" applyFont="1" applyFill="1" applyBorder="1"/>
    <xf numFmtId="0" fontId="6" fillId="12" borderId="8" xfId="0" applyFont="1" applyFill="1" applyBorder="1"/>
    <xf numFmtId="0" fontId="6" fillId="12" borderId="9" xfId="0" applyFont="1" applyFill="1" applyBorder="1"/>
    <xf numFmtId="166" fontId="0" fillId="11" borderId="1" xfId="2" applyNumberFormat="1" applyFont="1" applyFill="1" applyBorder="1" applyAlignment="1">
      <alignment horizontal="center"/>
    </xf>
    <xf numFmtId="166" fontId="7" fillId="0" borderId="0" xfId="2" applyNumberFormat="1" applyFont="1" applyFill="1" applyBorder="1" applyAlignment="1" applyProtection="1">
      <alignment horizontal="center" vertical="center"/>
      <protection locked="0"/>
    </xf>
    <xf numFmtId="0" fontId="3" fillId="0" borderId="0" xfId="0" applyFont="1" applyAlignment="1">
      <alignment horizontal="right" indent="1"/>
    </xf>
    <xf numFmtId="0" fontId="69" fillId="0" borderId="0" xfId="0" applyFont="1" applyAlignment="1">
      <alignment horizontal="center" vertical="center" wrapText="1"/>
    </xf>
    <xf numFmtId="0" fontId="62" fillId="0" borderId="0" xfId="0" applyFont="1"/>
    <xf numFmtId="0" fontId="7" fillId="0" borderId="0" xfId="0" applyFont="1" applyAlignment="1" applyProtection="1">
      <alignment horizontal="left" vertical="center" wrapText="1" indent="1"/>
      <protection locked="0"/>
    </xf>
    <xf numFmtId="0" fontId="8" fillId="0" borderId="0" xfId="0" applyFont="1" applyAlignment="1">
      <alignment horizontal="center" wrapText="1"/>
    </xf>
    <xf numFmtId="0" fontId="8" fillId="2" borderId="0" xfId="0" applyFont="1" applyFill="1" applyAlignment="1" applyProtection="1">
      <alignment horizontal="center"/>
      <protection locked="0"/>
    </xf>
    <xf numFmtId="3" fontId="9" fillId="0" borderId="0" xfId="0" applyNumberFormat="1" applyFont="1" applyAlignment="1">
      <alignment horizontal="center"/>
    </xf>
    <xf numFmtId="174" fontId="13" fillId="10" borderId="15" xfId="1" applyNumberFormat="1" applyFont="1" applyFill="1" applyBorder="1" applyAlignment="1" applyProtection="1">
      <alignment horizontal="center" vertical="center"/>
    </xf>
    <xf numFmtId="165" fontId="13" fillId="0" borderId="15" xfId="0" applyNumberFormat="1" applyFont="1" applyBorder="1" applyAlignment="1">
      <alignment horizontal="center" vertical="center"/>
    </xf>
    <xf numFmtId="165" fontId="13" fillId="11" borderId="15" xfId="0" applyNumberFormat="1" applyFont="1" applyFill="1" applyBorder="1" applyAlignment="1">
      <alignment horizontal="center" vertical="center"/>
    </xf>
    <xf numFmtId="0" fontId="3" fillId="11" borderId="1" xfId="0" applyFont="1" applyFill="1" applyBorder="1" applyAlignment="1" applyProtection="1">
      <alignment horizontal="center" vertical="center" wrapText="1"/>
      <protection locked="0"/>
    </xf>
    <xf numFmtId="166" fontId="7" fillId="11" borderId="15" xfId="2" applyNumberFormat="1" applyFont="1" applyFill="1" applyBorder="1" applyAlignment="1" applyProtection="1">
      <alignment horizontal="center" vertical="center"/>
      <protection locked="0"/>
    </xf>
    <xf numFmtId="1" fontId="3" fillId="11" borderId="1" xfId="0" applyNumberFormat="1" applyFont="1" applyFill="1" applyBorder="1" applyAlignment="1" applyProtection="1">
      <alignment horizontal="center" vertical="center"/>
      <protection locked="0"/>
    </xf>
    <xf numFmtId="0" fontId="8" fillId="23" borderId="7" xfId="0" applyFont="1" applyFill="1" applyBorder="1" applyAlignment="1">
      <alignment horizontal="left" vertical="center" indent="1"/>
    </xf>
    <xf numFmtId="0" fontId="8" fillId="23" borderId="8" xfId="0" applyFont="1" applyFill="1" applyBorder="1" applyAlignment="1">
      <alignment horizontal="left" vertical="center" indent="1"/>
    </xf>
    <xf numFmtId="0" fontId="8" fillId="23" borderId="9" xfId="0" applyFont="1" applyFill="1" applyBorder="1" applyAlignment="1">
      <alignment vertical="center"/>
    </xf>
    <xf numFmtId="165" fontId="27" fillId="23" borderId="11" xfId="0" applyNumberFormat="1" applyFont="1" applyFill="1" applyBorder="1" applyAlignment="1">
      <alignment horizontal="center" vertical="center"/>
    </xf>
    <xf numFmtId="1" fontId="70" fillId="2" borderId="0" xfId="0" applyNumberFormat="1" applyFont="1" applyFill="1" applyAlignment="1" applyProtection="1">
      <alignment horizontal="left"/>
      <protection locked="0"/>
    </xf>
    <xf numFmtId="166" fontId="13" fillId="0" borderId="15" xfId="2" applyNumberFormat="1" applyFont="1" applyFill="1" applyBorder="1" applyAlignment="1" applyProtection="1">
      <alignment horizontal="center" vertical="center"/>
    </xf>
    <xf numFmtId="165" fontId="13" fillId="10" borderId="15" xfId="0" applyNumberFormat="1" applyFont="1" applyFill="1" applyBorder="1" applyAlignment="1">
      <alignment horizontal="center" vertical="center"/>
    </xf>
    <xf numFmtId="0" fontId="8" fillId="7" borderId="7" xfId="0" applyFont="1" applyFill="1" applyBorder="1" applyAlignment="1">
      <alignment horizontal="left" vertical="center" indent="1"/>
    </xf>
    <xf numFmtId="0" fontId="8" fillId="7" borderId="8" xfId="0" applyFont="1" applyFill="1" applyBorder="1" applyAlignment="1">
      <alignment horizontal="left" vertical="center" indent="1"/>
    </xf>
    <xf numFmtId="0" fontId="8" fillId="7" borderId="9" xfId="0" applyFont="1" applyFill="1" applyBorder="1" applyAlignment="1">
      <alignment vertical="center"/>
    </xf>
    <xf numFmtId="165" fontId="27" fillId="7" borderId="15" xfId="0" applyNumberFormat="1" applyFont="1" applyFill="1" applyBorder="1" applyAlignment="1">
      <alignment horizontal="center" vertical="center"/>
    </xf>
    <xf numFmtId="10" fontId="7" fillId="11" borderId="15" xfId="2" applyNumberFormat="1" applyFont="1" applyFill="1" applyBorder="1" applyAlignment="1" applyProtection="1">
      <alignment horizontal="center" vertical="center"/>
      <protection locked="0"/>
    </xf>
    <xf numFmtId="1" fontId="7" fillId="11" borderId="1" xfId="0" applyNumberFormat="1" applyFont="1" applyFill="1" applyBorder="1" applyAlignment="1" applyProtection="1">
      <alignment horizontal="center" vertical="center" wrapText="1"/>
      <protection locked="0"/>
    </xf>
    <xf numFmtId="1" fontId="7" fillId="11" borderId="1" xfId="0" applyNumberFormat="1" applyFont="1" applyFill="1" applyBorder="1" applyAlignment="1" applyProtection="1">
      <alignment horizontal="center" vertical="center"/>
      <protection locked="0"/>
    </xf>
    <xf numFmtId="0" fontId="7" fillId="11" borderId="1" xfId="0" applyFont="1" applyFill="1" applyBorder="1" applyAlignment="1" applyProtection="1">
      <alignment horizontal="center" vertical="center" wrapText="1"/>
      <protection locked="0"/>
    </xf>
    <xf numFmtId="0" fontId="7" fillId="11" borderId="1" xfId="0" applyFont="1" applyFill="1" applyBorder="1" applyAlignment="1">
      <alignment horizontal="center" vertical="center"/>
    </xf>
    <xf numFmtId="1" fontId="13" fillId="11" borderId="1" xfId="0" applyNumberFormat="1" applyFont="1" applyFill="1" applyBorder="1" applyAlignment="1" applyProtection="1">
      <alignment horizontal="center" vertical="center"/>
      <protection locked="0"/>
    </xf>
    <xf numFmtId="0" fontId="41" fillId="11" borderId="1" xfId="0" applyFont="1" applyFill="1" applyBorder="1" applyAlignment="1">
      <alignment horizontal="center" vertical="center" wrapText="1"/>
    </xf>
    <xf numFmtId="0" fontId="19" fillId="11" borderId="1" xfId="0" applyFont="1" applyFill="1" applyBorder="1" applyAlignment="1">
      <alignment horizontal="center"/>
    </xf>
    <xf numFmtId="0" fontId="14" fillId="11" borderId="1" xfId="0" applyFont="1" applyFill="1" applyBorder="1" applyAlignment="1" applyProtection="1">
      <alignment horizontal="center" vertical="center" wrapText="1"/>
      <protection locked="0"/>
    </xf>
    <xf numFmtId="1" fontId="3" fillId="11" borderId="1" xfId="0" applyNumberFormat="1" applyFont="1" applyFill="1" applyBorder="1" applyAlignment="1" applyProtection="1">
      <alignment horizontal="center" vertical="center" wrapText="1"/>
      <protection locked="0"/>
    </xf>
    <xf numFmtId="0" fontId="7" fillId="0" borderId="12" xfId="0" applyFont="1" applyBorder="1" applyAlignment="1">
      <alignment horizontal="left" vertical="center" indent="1"/>
    </xf>
    <xf numFmtId="0" fontId="30" fillId="0" borderId="10" xfId="0" applyFont="1" applyBorder="1" applyAlignment="1">
      <alignment horizontal="right" vertical="center"/>
    </xf>
    <xf numFmtId="166" fontId="13" fillId="3" borderId="15" xfId="2" applyNumberFormat="1" applyFont="1" applyFill="1" applyBorder="1" applyAlignment="1" applyProtection="1">
      <alignment horizontal="center" vertical="center"/>
      <protection locked="0"/>
    </xf>
    <xf numFmtId="3" fontId="13" fillId="3" borderId="15" xfId="0" applyNumberFormat="1" applyFont="1" applyFill="1" applyBorder="1" applyAlignment="1" applyProtection="1">
      <alignment horizontal="center" vertical="center"/>
      <protection locked="0"/>
    </xf>
    <xf numFmtId="0" fontId="30" fillId="0" borderId="0" xfId="0" applyFont="1" applyAlignment="1">
      <alignment horizontal="right" vertical="center"/>
    </xf>
    <xf numFmtId="0" fontId="30" fillId="0" borderId="22" xfId="0" applyFont="1" applyBorder="1" applyAlignment="1">
      <alignment horizontal="right" vertical="center"/>
    </xf>
    <xf numFmtId="0" fontId="14" fillId="0" borderId="22" xfId="0" applyFont="1" applyBorder="1"/>
    <xf numFmtId="0" fontId="3" fillId="0" borderId="22" xfId="0" applyFont="1" applyBorder="1"/>
    <xf numFmtId="0" fontId="7" fillId="0" borderId="7" xfId="0" applyFont="1" applyBorder="1" applyAlignment="1">
      <alignment horizontal="left" vertical="center" indent="1"/>
    </xf>
    <xf numFmtId="0" fontId="7" fillId="0" borderId="8" xfId="0" applyFont="1" applyBorder="1" applyAlignment="1">
      <alignment horizontal="left" vertical="center" indent="1"/>
    </xf>
    <xf numFmtId="0" fontId="7" fillId="0" borderId="9" xfId="0" applyFont="1" applyBorder="1" applyAlignment="1">
      <alignment vertical="center"/>
    </xf>
    <xf numFmtId="167" fontId="7" fillId="11" borderId="11" xfId="0" applyNumberFormat="1" applyFont="1" applyFill="1" applyBorder="1" applyAlignment="1">
      <alignment horizontal="center" vertical="center"/>
    </xf>
    <xf numFmtId="0" fontId="3" fillId="3" borderId="1" xfId="0" applyFont="1" applyFill="1" applyBorder="1" applyAlignment="1" applyProtection="1">
      <alignment horizontal="center" vertical="center" wrapText="1"/>
      <protection locked="0"/>
    </xf>
    <xf numFmtId="0" fontId="43" fillId="0" borderId="0" xfId="0" applyFont="1" applyAlignment="1">
      <alignment horizontal="left" vertical="center" indent="1"/>
    </xf>
    <xf numFmtId="0" fontId="43" fillId="0" borderId="0" xfId="0" applyFont="1" applyAlignment="1">
      <alignment vertical="center"/>
    </xf>
    <xf numFmtId="0" fontId="43" fillId="0" borderId="14" xfId="0" applyFont="1" applyBorder="1" applyAlignment="1">
      <alignment vertical="center"/>
    </xf>
    <xf numFmtId="0" fontId="46" fillId="0" borderId="0" xfId="3"/>
    <xf numFmtId="0" fontId="3" fillId="0" borderId="0" xfId="0" applyFont="1" applyAlignment="1">
      <alignment horizontal="left" vertical="center" indent="1"/>
    </xf>
    <xf numFmtId="0" fontId="71" fillId="0" borderId="0" xfId="0" applyFont="1"/>
    <xf numFmtId="9" fontId="0" fillId="11" borderId="1" xfId="0" applyNumberFormat="1" applyFill="1" applyBorder="1" applyAlignment="1">
      <alignment horizontal="center"/>
    </xf>
    <xf numFmtId="0" fontId="67" fillId="0" borderId="0" xfId="0" applyFont="1"/>
    <xf numFmtId="7" fontId="0" fillId="11" borderId="1" xfId="1" applyNumberFormat="1" applyFont="1" applyFill="1" applyBorder="1" applyAlignment="1">
      <alignment horizontal="center"/>
    </xf>
    <xf numFmtId="171" fontId="16" fillId="0" borderId="0" xfId="1" applyNumberFormat="1" applyFont="1" applyBorder="1" applyAlignment="1">
      <alignment horizontal="center"/>
    </xf>
    <xf numFmtId="165" fontId="19" fillId="11" borderId="1" xfId="1" applyNumberFormat="1" applyFont="1" applyFill="1" applyBorder="1" applyAlignment="1">
      <alignment horizontal="center"/>
    </xf>
    <xf numFmtId="0" fontId="46" fillId="0" borderId="0" xfId="3" applyFill="1"/>
    <xf numFmtId="3" fontId="0" fillId="0" borderId="0" xfId="0" applyNumberFormat="1" applyAlignment="1">
      <alignment horizontal="center"/>
    </xf>
    <xf numFmtId="0" fontId="0" fillId="0" borderId="4" xfId="0" applyBorder="1"/>
    <xf numFmtId="0" fontId="68" fillId="2" borderId="0" xfId="0" applyFont="1" applyFill="1"/>
    <xf numFmtId="3" fontId="0" fillId="2" borderId="0" xfId="0" applyNumberFormat="1" applyFill="1" applyAlignment="1">
      <alignment horizontal="center"/>
    </xf>
    <xf numFmtId="166" fontId="13" fillId="11" borderId="15" xfId="2" applyNumberFormat="1" applyFont="1" applyFill="1" applyBorder="1" applyAlignment="1">
      <alignment horizontal="center" vertical="center"/>
    </xf>
    <xf numFmtId="0" fontId="0" fillId="11" borderId="5" xfId="0" applyFill="1" applyBorder="1" applyAlignment="1">
      <alignment horizontal="center"/>
    </xf>
    <xf numFmtId="165" fontId="16" fillId="10" borderId="9" xfId="0" applyNumberFormat="1" applyFont="1" applyFill="1" applyBorder="1" applyAlignment="1">
      <alignment horizontal="center"/>
    </xf>
    <xf numFmtId="0" fontId="71" fillId="0" borderId="7" xfId="0" applyFont="1" applyBorder="1"/>
    <xf numFmtId="0" fontId="3" fillId="0" borderId="8" xfId="0" applyFont="1" applyBorder="1"/>
    <xf numFmtId="0" fontId="0" fillId="0" borderId="8" xfId="0" applyBorder="1"/>
    <xf numFmtId="0" fontId="3" fillId="0" borderId="9" xfId="0" applyFont="1" applyBorder="1"/>
    <xf numFmtId="38" fontId="7" fillId="0" borderId="0" xfId="0" applyNumberFormat="1" applyFont="1" applyAlignment="1">
      <alignment horizontal="center"/>
    </xf>
    <xf numFmtId="165" fontId="27" fillId="10" borderId="15" xfId="0" applyNumberFormat="1" applyFont="1" applyFill="1" applyBorder="1" applyAlignment="1">
      <alignment horizontal="center" vertical="center"/>
    </xf>
    <xf numFmtId="0" fontId="12" fillId="0" borderId="0" xfId="0" applyFont="1" applyAlignment="1">
      <alignment horizontal="left"/>
    </xf>
    <xf numFmtId="0" fontId="10" fillId="0" borderId="0" xfId="0" applyFont="1" applyAlignment="1">
      <alignment horizontal="left"/>
    </xf>
    <xf numFmtId="165" fontId="13" fillId="10" borderId="11" xfId="0" applyNumberFormat="1" applyFont="1" applyFill="1" applyBorder="1" applyAlignment="1">
      <alignment horizontal="center" vertical="center"/>
    </xf>
    <xf numFmtId="166" fontId="7" fillId="11" borderId="11" xfId="2" applyNumberFormat="1" applyFont="1" applyFill="1" applyBorder="1" applyAlignment="1">
      <alignment horizontal="center"/>
    </xf>
    <xf numFmtId="0" fontId="8" fillId="23" borderId="8" xfId="0" applyFont="1" applyFill="1" applyBorder="1" applyAlignment="1">
      <alignment vertical="center"/>
    </xf>
    <xf numFmtId="0" fontId="7" fillId="0" borderId="13" xfId="0" applyFont="1" applyBorder="1" applyAlignment="1">
      <alignment vertical="center"/>
    </xf>
    <xf numFmtId="0" fontId="8" fillId="23" borderId="7" xfId="0" applyFont="1" applyFill="1" applyBorder="1" applyAlignment="1">
      <alignment vertical="center"/>
    </xf>
    <xf numFmtId="0" fontId="7" fillId="2" borderId="12" xfId="0" applyFont="1" applyFill="1" applyBorder="1" applyAlignment="1" applyProtection="1">
      <alignment horizontal="left" vertical="center" wrapText="1" indent="1"/>
      <protection locked="0"/>
    </xf>
    <xf numFmtId="0" fontId="7" fillId="2" borderId="10" xfId="0" applyFont="1" applyFill="1" applyBorder="1" applyAlignment="1" applyProtection="1">
      <alignment horizontal="left" vertical="center" wrapText="1" indent="1"/>
      <protection locked="0"/>
    </xf>
    <xf numFmtId="0" fontId="7" fillId="2" borderId="19" xfId="0" applyFont="1" applyFill="1" applyBorder="1" applyAlignment="1" applyProtection="1">
      <alignment horizontal="left" vertical="center" wrapText="1" indent="1"/>
      <protection locked="0"/>
    </xf>
    <xf numFmtId="0" fontId="3" fillId="0" borderId="14" xfId="0" applyFont="1" applyBorder="1"/>
    <xf numFmtId="166" fontId="0" fillId="11" borderId="11" xfId="2" applyNumberFormat="1" applyFont="1" applyFill="1" applyBorder="1" applyAlignment="1">
      <alignment horizontal="center"/>
    </xf>
    <xf numFmtId="165" fontId="7" fillId="10" borderId="42" xfId="0" applyNumberFormat="1" applyFont="1" applyFill="1" applyBorder="1" applyAlignment="1">
      <alignment horizontal="center" wrapText="1"/>
    </xf>
    <xf numFmtId="165" fontId="7" fillId="10" borderId="43" xfId="0" applyNumberFormat="1" applyFont="1" applyFill="1" applyBorder="1" applyAlignment="1">
      <alignment horizontal="center"/>
    </xf>
    <xf numFmtId="165" fontId="7" fillId="10" borderId="44" xfId="0" applyNumberFormat="1" applyFont="1" applyFill="1" applyBorder="1" applyAlignment="1">
      <alignment horizontal="center"/>
    </xf>
    <xf numFmtId="165" fontId="7" fillId="10" borderId="45" xfId="0" applyNumberFormat="1" applyFont="1" applyFill="1" applyBorder="1" applyAlignment="1">
      <alignment horizontal="center"/>
    </xf>
    <xf numFmtId="0" fontId="8" fillId="2" borderId="4" xfId="0" applyFont="1" applyFill="1" applyBorder="1" applyAlignment="1" applyProtection="1">
      <alignment horizontal="center" vertical="center" wrapText="1"/>
      <protection locked="0"/>
    </xf>
    <xf numFmtId="0" fontId="16" fillId="7" borderId="23" xfId="0" applyFont="1" applyFill="1" applyBorder="1" applyAlignment="1">
      <alignment horizontal="center"/>
    </xf>
    <xf numFmtId="0" fontId="16" fillId="7" borderId="11" xfId="0" applyFont="1" applyFill="1" applyBorder="1" applyAlignment="1">
      <alignment horizontal="center"/>
    </xf>
    <xf numFmtId="0" fontId="16" fillId="5" borderId="23" xfId="0" applyFont="1" applyFill="1" applyBorder="1" applyAlignment="1">
      <alignment horizontal="center"/>
    </xf>
    <xf numFmtId="0" fontId="16" fillId="5" borderId="11" xfId="0" applyFont="1" applyFill="1" applyBorder="1" applyAlignment="1">
      <alignment horizontal="center"/>
    </xf>
    <xf numFmtId="165" fontId="0" fillId="10" borderId="3" xfId="0" applyNumberFormat="1" applyFill="1" applyBorder="1" applyAlignment="1">
      <alignment horizontal="center"/>
    </xf>
    <xf numFmtId="0" fontId="15" fillId="9" borderId="47" xfId="0" applyFont="1" applyFill="1" applyBorder="1"/>
    <xf numFmtId="0" fontId="15" fillId="9" borderId="23" xfId="0" applyFont="1" applyFill="1" applyBorder="1" applyAlignment="1">
      <alignment horizontal="center"/>
    </xf>
    <xf numFmtId="0" fontId="15" fillId="9" borderId="11" xfId="0" applyFont="1" applyFill="1" applyBorder="1" applyAlignment="1">
      <alignment horizontal="center"/>
    </xf>
    <xf numFmtId="1" fontId="1" fillId="0" borderId="0" xfId="0" applyNumberFormat="1" applyFont="1" applyAlignment="1">
      <alignment horizontal="center"/>
    </xf>
    <xf numFmtId="0" fontId="73" fillId="0" borderId="49" xfId="0" applyFont="1" applyBorder="1"/>
    <xf numFmtId="0" fontId="3" fillId="0" borderId="49" xfId="0" applyFont="1" applyBorder="1" applyAlignment="1">
      <alignment horizontal="center"/>
    </xf>
    <xf numFmtId="0" fontId="3" fillId="0" borderId="49" xfId="0" applyFont="1" applyBorder="1"/>
    <xf numFmtId="0" fontId="3" fillId="0" borderId="54" xfId="0" applyFont="1" applyBorder="1"/>
    <xf numFmtId="0" fontId="3" fillId="0" borderId="54" xfId="0" applyFont="1" applyBorder="1" applyAlignment="1">
      <alignment horizontal="center"/>
    </xf>
    <xf numFmtId="0" fontId="3" fillId="0" borderId="48" xfId="0" applyFont="1" applyBorder="1" applyAlignment="1">
      <alignment horizontal="center"/>
    </xf>
    <xf numFmtId="0" fontId="3" fillId="0" borderId="51" xfId="0" applyFont="1" applyBorder="1" applyAlignment="1">
      <alignment horizontal="center"/>
    </xf>
    <xf numFmtId="0" fontId="3" fillId="0" borderId="53" xfId="0" applyFont="1" applyBorder="1" applyAlignment="1">
      <alignment horizontal="center"/>
    </xf>
    <xf numFmtId="0" fontId="41" fillId="0" borderId="32" xfId="0" applyFont="1" applyBorder="1"/>
    <xf numFmtId="1" fontId="19" fillId="0" borderId="0" xfId="0" applyNumberFormat="1" applyFont="1" applyAlignment="1">
      <alignment horizontal="center"/>
    </xf>
    <xf numFmtId="0" fontId="7" fillId="10" borderId="0" xfId="0" applyFont="1" applyFill="1" applyAlignment="1">
      <alignment horizontal="center"/>
    </xf>
    <xf numFmtId="0" fontId="46" fillId="0" borderId="0" xfId="3" applyAlignment="1">
      <alignment horizontal="right"/>
    </xf>
    <xf numFmtId="1" fontId="31" fillId="0" borderId="0" xfId="0" applyNumberFormat="1" applyFont="1" applyAlignment="1">
      <alignment horizontal="center" vertical="center" wrapText="1"/>
    </xf>
    <xf numFmtId="0" fontId="13" fillId="0" borderId="4" xfId="0" applyFont="1" applyBorder="1"/>
    <xf numFmtId="1" fontId="30" fillId="0" borderId="0" xfId="0" applyNumberFormat="1" applyFont="1" applyAlignment="1" applyProtection="1">
      <alignment horizontal="left"/>
      <protection locked="0"/>
    </xf>
    <xf numFmtId="1" fontId="46" fillId="0" borderId="0" xfId="3" applyNumberFormat="1" applyAlignment="1" applyProtection="1">
      <alignment horizontal="center"/>
      <protection locked="0"/>
    </xf>
    <xf numFmtId="0" fontId="28" fillId="12" borderId="7" xfId="0" applyFont="1" applyFill="1" applyBorder="1"/>
    <xf numFmtId="0" fontId="28" fillId="12" borderId="8" xfId="0" applyFont="1" applyFill="1" applyBorder="1"/>
    <xf numFmtId="0" fontId="33" fillId="0" borderId="0" xfId="0" applyFont="1" applyAlignment="1">
      <alignment horizontal="left" indent="1"/>
    </xf>
    <xf numFmtId="0" fontId="19" fillId="0" borderId="0" xfId="0" applyFont="1" applyAlignment="1">
      <alignment vertical="center"/>
    </xf>
    <xf numFmtId="0" fontId="39" fillId="0" borderId="0" xfId="0" applyFont="1" applyAlignment="1">
      <alignment vertical="center"/>
    </xf>
    <xf numFmtId="0" fontId="1" fillId="0" borderId="0" xfId="0" applyFont="1" applyAlignment="1">
      <alignment vertical="center"/>
    </xf>
    <xf numFmtId="0" fontId="23" fillId="4" borderId="0" xfId="0" applyFont="1" applyFill="1" applyAlignment="1">
      <alignment vertical="center"/>
    </xf>
    <xf numFmtId="0" fontId="15" fillId="12" borderId="1" xfId="0" applyFont="1" applyFill="1" applyBorder="1" applyAlignment="1">
      <alignment vertical="center"/>
    </xf>
    <xf numFmtId="0" fontId="0" fillId="24" borderId="1" xfId="0" applyFill="1" applyBorder="1" applyAlignment="1">
      <alignment vertical="center"/>
    </xf>
    <xf numFmtId="176" fontId="0" fillId="24" borderId="1" xfId="0" applyNumberFormat="1" applyFill="1" applyBorder="1" applyAlignment="1">
      <alignment horizontal="left" vertical="center"/>
    </xf>
    <xf numFmtId="0" fontId="19" fillId="24" borderId="1" xfId="0" applyFont="1" applyFill="1" applyBorder="1" applyAlignment="1">
      <alignment horizontal="left" vertical="center"/>
    </xf>
    <xf numFmtId="0" fontId="74" fillId="0" borderId="0" xfId="0" applyFont="1" applyAlignment="1">
      <alignment vertical="center"/>
    </xf>
    <xf numFmtId="0" fontId="75" fillId="0" borderId="0" xfId="0" applyFont="1" applyAlignment="1">
      <alignment vertical="center"/>
    </xf>
    <xf numFmtId="0" fontId="0" fillId="24" borderId="0" xfId="0" applyFill="1" applyAlignment="1">
      <alignment vertical="center"/>
    </xf>
    <xf numFmtId="176" fontId="0" fillId="24" borderId="0" xfId="0" applyNumberFormat="1" applyFill="1" applyAlignment="1">
      <alignment horizontal="left" vertical="center"/>
    </xf>
    <xf numFmtId="0" fontId="19" fillId="24" borderId="0" xfId="0" applyFont="1" applyFill="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166" fontId="0" fillId="0" borderId="1" xfId="2" applyNumberFormat="1" applyFont="1" applyBorder="1" applyAlignment="1">
      <alignment horizontal="center" vertical="center"/>
    </xf>
    <xf numFmtId="0" fontId="60" fillId="0" borderId="0" xfId="0" applyFont="1" applyAlignment="1">
      <alignment vertical="center"/>
    </xf>
    <xf numFmtId="0" fontId="0" fillId="0" borderId="30" xfId="0" applyBorder="1" applyAlignment="1">
      <alignment vertical="center"/>
    </xf>
    <xf numFmtId="0" fontId="0" fillId="0" borderId="2" xfId="0" applyBorder="1" applyAlignment="1">
      <alignment vertical="center"/>
    </xf>
    <xf numFmtId="0" fontId="0" fillId="0" borderId="3" xfId="0" applyBorder="1" applyAlignment="1">
      <alignment vertical="center"/>
    </xf>
    <xf numFmtId="166" fontId="15" fillId="4" borderId="0" xfId="2" applyNumberFormat="1" applyFont="1" applyFill="1" applyAlignment="1">
      <alignment horizontal="center" vertical="center"/>
    </xf>
    <xf numFmtId="166" fontId="7" fillId="3" borderId="1" xfId="2" applyNumberFormat="1" applyFont="1" applyFill="1" applyBorder="1" applyAlignment="1">
      <alignment horizontal="center"/>
    </xf>
    <xf numFmtId="0" fontId="44" fillId="3" borderId="0" xfId="0" applyFont="1" applyFill="1"/>
    <xf numFmtId="0" fontId="7" fillId="0" borderId="1" xfId="0" applyFont="1" applyBorder="1" applyAlignment="1">
      <alignment horizontal="center"/>
    </xf>
    <xf numFmtId="166" fontId="7" fillId="0" borderId="1" xfId="2" applyNumberFormat="1" applyFont="1" applyFill="1" applyBorder="1" applyAlignment="1">
      <alignment horizontal="center"/>
    </xf>
    <xf numFmtId="166" fontId="0" fillId="0" borderId="1" xfId="2" applyNumberFormat="1" applyFont="1" applyFill="1" applyBorder="1" applyAlignment="1">
      <alignment horizontal="center"/>
    </xf>
    <xf numFmtId="1" fontId="46" fillId="0" borderId="0" xfId="3" applyNumberFormat="1" applyAlignment="1" applyProtection="1">
      <alignment horizontal="left"/>
      <protection locked="0"/>
    </xf>
    <xf numFmtId="0" fontId="46" fillId="2" borderId="0" xfId="3" applyFill="1" applyAlignment="1">
      <alignment horizontal="left" vertical="center" wrapText="1"/>
    </xf>
    <xf numFmtId="1" fontId="7" fillId="0" borderId="1" xfId="0" applyNumberFormat="1" applyFont="1" applyBorder="1" applyAlignment="1" applyProtection="1">
      <alignment horizontal="center" vertical="center" wrapText="1"/>
      <protection locked="0"/>
    </xf>
    <xf numFmtId="1" fontId="41" fillId="0" borderId="1" xfId="0" applyNumberFormat="1" applyFont="1" applyBorder="1" applyAlignment="1" applyProtection="1">
      <alignment horizontal="center" vertical="center"/>
      <protection locked="0"/>
    </xf>
    <xf numFmtId="1" fontId="7" fillId="0" borderId="1" xfId="0" applyNumberFormat="1" applyFont="1" applyBorder="1" applyAlignment="1" applyProtection="1">
      <alignment horizontal="center" vertical="center"/>
      <protection locked="0"/>
    </xf>
    <xf numFmtId="0" fontId="7" fillId="0" borderId="1" xfId="0" applyFont="1" applyBorder="1" applyAlignment="1" applyProtection="1">
      <alignment horizontal="center" vertical="center" wrapText="1"/>
      <protection locked="0"/>
    </xf>
    <xf numFmtId="0" fontId="41" fillId="0" borderId="1" xfId="0" applyFont="1" applyBorder="1" applyAlignment="1">
      <alignment horizontal="center" vertical="center"/>
    </xf>
    <xf numFmtId="1"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protection locked="0"/>
    </xf>
    <xf numFmtId="0" fontId="36" fillId="0" borderId="49" xfId="0" applyFont="1" applyBorder="1"/>
    <xf numFmtId="0" fontId="36" fillId="0" borderId="50" xfId="0" applyFont="1" applyBorder="1"/>
    <xf numFmtId="0" fontId="3" fillId="0" borderId="0" xfId="0" applyFont="1" applyAlignment="1">
      <alignment horizontal="left"/>
    </xf>
    <xf numFmtId="0" fontId="3" fillId="17" borderId="0" xfId="0" applyFont="1" applyFill="1" applyAlignment="1">
      <alignment horizontal="center"/>
    </xf>
    <xf numFmtId="0" fontId="3" fillId="0" borderId="52" xfId="0" applyFont="1" applyBorder="1"/>
    <xf numFmtId="0" fontId="3" fillId="0" borderId="55" xfId="0" applyFont="1" applyBorder="1"/>
    <xf numFmtId="0" fontId="56" fillId="0" borderId="0" xfId="0" applyFont="1"/>
    <xf numFmtId="167" fontId="33" fillId="0" borderId="0" xfId="0" applyNumberFormat="1" applyFont="1"/>
    <xf numFmtId="165" fontId="33" fillId="0" borderId="1" xfId="0" applyNumberFormat="1" applyFont="1" applyBorder="1" applyAlignment="1">
      <alignment horizontal="center"/>
    </xf>
    <xf numFmtId="167" fontId="33" fillId="0" borderId="1" xfId="0" applyNumberFormat="1" applyFont="1" applyBorder="1" applyAlignment="1">
      <alignment horizontal="center"/>
    </xf>
    <xf numFmtId="0" fontId="16" fillId="0" borderId="0" xfId="0" applyFont="1" applyAlignment="1">
      <alignment horizontal="right"/>
    </xf>
    <xf numFmtId="165" fontId="8" fillId="10" borderId="1" xfId="0" applyNumberFormat="1" applyFont="1" applyFill="1" applyBorder="1" applyAlignment="1">
      <alignment horizontal="center" wrapText="1"/>
    </xf>
    <xf numFmtId="0" fontId="7" fillId="0" borderId="42" xfId="0" applyFont="1" applyBorder="1" applyAlignment="1">
      <alignment horizontal="center"/>
    </xf>
    <xf numFmtId="0" fontId="7" fillId="0" borderId="43" xfId="0" applyFont="1" applyBorder="1" applyAlignment="1">
      <alignment horizontal="center"/>
    </xf>
    <xf numFmtId="0" fontId="33" fillId="0" borderId="0" xfId="0" applyFont="1" applyAlignment="1">
      <alignment horizontal="right"/>
    </xf>
    <xf numFmtId="0" fontId="45" fillId="0" borderId="0" xfId="0" applyFont="1" applyAlignment="1">
      <alignment horizontal="center"/>
    </xf>
    <xf numFmtId="0" fontId="8" fillId="0" borderId="13" xfId="0" applyFont="1" applyBorder="1"/>
    <xf numFmtId="0" fontId="33" fillId="0" borderId="0" xfId="0" applyFont="1" applyAlignment="1">
      <alignment vertical="center"/>
    </xf>
    <xf numFmtId="0" fontId="41" fillId="0" borderId="13" xfId="0" applyFont="1" applyBorder="1" applyAlignment="1">
      <alignment horizontal="left" vertical="center" indent="1"/>
    </xf>
    <xf numFmtId="0" fontId="33" fillId="0" borderId="0" xfId="0" applyFont="1" applyAlignment="1">
      <alignment horizontal="left" vertical="center" indent="1"/>
    </xf>
    <xf numFmtId="0" fontId="41" fillId="0" borderId="0" xfId="0" applyFont="1" applyAlignment="1">
      <alignment horizontal="left" vertical="center" indent="1"/>
    </xf>
    <xf numFmtId="0" fontId="41" fillId="0" borderId="0" xfId="0" applyFont="1" applyAlignment="1">
      <alignment vertical="center"/>
    </xf>
    <xf numFmtId="0" fontId="77" fillId="0" borderId="0" xfId="0" applyFont="1" applyAlignment="1">
      <alignment horizontal="left" vertical="center" indent="1"/>
    </xf>
    <xf numFmtId="0" fontId="76" fillId="0" borderId="0" xfId="3" applyFont="1" applyFill="1" applyAlignment="1">
      <alignment horizontal="center" vertical="center"/>
    </xf>
    <xf numFmtId="166" fontId="41" fillId="11" borderId="11" xfId="2" applyNumberFormat="1" applyFont="1" applyFill="1" applyBorder="1" applyAlignment="1" applyProtection="1">
      <alignment horizontal="center" vertical="center"/>
      <protection locked="0"/>
    </xf>
    <xf numFmtId="0" fontId="33" fillId="0" borderId="13" xfId="0" applyFont="1" applyBorder="1" applyAlignment="1">
      <alignment horizontal="left" vertical="center" indent="1"/>
    </xf>
    <xf numFmtId="170" fontId="33" fillId="0" borderId="0" xfId="0" applyNumberFormat="1" applyFont="1" applyAlignment="1">
      <alignment vertical="center"/>
    </xf>
    <xf numFmtId="6" fontId="39" fillId="10" borderId="11" xfId="0" applyNumberFormat="1" applyFont="1" applyFill="1" applyBorder="1" applyAlignment="1">
      <alignment horizontal="center" vertical="center"/>
    </xf>
    <xf numFmtId="0" fontId="78" fillId="0" borderId="0" xfId="0" applyFont="1"/>
    <xf numFmtId="0" fontId="78" fillId="0" borderId="0" xfId="0" applyFont="1" applyAlignment="1">
      <alignment vertical="center"/>
    </xf>
    <xf numFmtId="165" fontId="41" fillId="10" borderId="15" xfId="2" applyNumberFormat="1" applyFont="1" applyFill="1" applyBorder="1" applyAlignment="1" applyProtection="1">
      <alignment horizontal="center" vertical="center"/>
    </xf>
    <xf numFmtId="0" fontId="39" fillId="5" borderId="11" xfId="0" applyFont="1" applyFill="1" applyBorder="1" applyAlignment="1">
      <alignment horizontal="center" vertical="center"/>
    </xf>
    <xf numFmtId="0" fontId="7" fillId="2" borderId="1" xfId="0" applyFont="1" applyFill="1" applyBorder="1" applyAlignment="1">
      <alignment horizontal="center" vertical="center"/>
    </xf>
    <xf numFmtId="165" fontId="7" fillId="10" borderId="42" xfId="0" applyNumberFormat="1" applyFont="1" applyFill="1" applyBorder="1" applyAlignment="1">
      <alignment horizontal="center"/>
    </xf>
    <xf numFmtId="0" fontId="9" fillId="0" borderId="0" xfId="0" applyFont="1" applyProtection="1">
      <protection locked="0"/>
    </xf>
    <xf numFmtId="0" fontId="7" fillId="11" borderId="13" xfId="0" applyFont="1" applyFill="1" applyBorder="1" applyAlignment="1">
      <alignment horizontal="left" vertical="center" indent="1"/>
    </xf>
    <xf numFmtId="3" fontId="7" fillId="3" borderId="15" xfId="0" applyNumberFormat="1" applyFont="1" applyFill="1" applyBorder="1" applyAlignment="1">
      <alignment horizontal="center" vertical="center"/>
    </xf>
    <xf numFmtId="165" fontId="7" fillId="3" borderId="11" xfId="2" applyNumberFormat="1" applyFont="1" applyFill="1" applyBorder="1" applyAlignment="1" applyProtection="1">
      <alignment horizontal="center" vertical="center"/>
      <protection locked="0"/>
    </xf>
    <xf numFmtId="166" fontId="7" fillId="3" borderId="11" xfId="2" applyNumberFormat="1" applyFont="1" applyFill="1" applyBorder="1" applyAlignment="1" applyProtection="1">
      <alignment horizontal="center" vertical="center"/>
      <protection locked="0"/>
    </xf>
    <xf numFmtId="1" fontId="7" fillId="3" borderId="1" xfId="0" applyNumberFormat="1" applyFont="1" applyFill="1" applyBorder="1" applyAlignment="1" applyProtection="1">
      <alignment horizontal="center" vertical="center"/>
      <protection locked="0"/>
    </xf>
    <xf numFmtId="1" fontId="3" fillId="3" borderId="1" xfId="0" applyNumberFormat="1" applyFont="1" applyFill="1" applyBorder="1" applyAlignment="1" applyProtection="1">
      <alignment horizontal="center" vertical="center" wrapText="1"/>
      <protection locked="0"/>
    </xf>
    <xf numFmtId="0" fontId="14" fillId="3" borderId="1" xfId="0" applyFont="1" applyFill="1" applyBorder="1" applyAlignment="1" applyProtection="1">
      <alignment horizontal="center" vertical="center" wrapText="1"/>
      <protection locked="0"/>
    </xf>
    <xf numFmtId="168" fontId="7" fillId="3" borderId="15" xfId="0" applyNumberFormat="1" applyFont="1" applyFill="1" applyBorder="1" applyAlignment="1" applyProtection="1">
      <alignment horizontal="center" vertical="center"/>
      <protection locked="0"/>
    </xf>
    <xf numFmtId="165" fontId="13" fillId="3" borderId="15" xfId="2" applyNumberFormat="1" applyFont="1" applyFill="1" applyBorder="1" applyAlignment="1" applyProtection="1">
      <alignment horizontal="center" vertical="center"/>
      <protection locked="0"/>
    </xf>
    <xf numFmtId="168" fontId="30" fillId="11" borderId="15" xfId="0" applyNumberFormat="1" applyFont="1" applyFill="1" applyBorder="1" applyAlignment="1" applyProtection="1">
      <alignment horizontal="center" vertical="center"/>
      <protection locked="0"/>
    </xf>
    <xf numFmtId="0" fontId="17" fillId="0" borderId="0" xfId="0" applyFont="1" applyAlignment="1">
      <alignment horizontal="center"/>
    </xf>
    <xf numFmtId="0" fontId="81" fillId="0" borderId="0" xfId="0" applyFont="1" applyAlignment="1">
      <alignment horizontal="center"/>
    </xf>
    <xf numFmtId="0" fontId="3" fillId="10" borderId="1" xfId="0" applyFont="1" applyFill="1" applyBorder="1" applyAlignment="1">
      <alignment horizontal="center"/>
    </xf>
    <xf numFmtId="0" fontId="3" fillId="3" borderId="1" xfId="0" quotePrefix="1" applyFont="1" applyFill="1" applyBorder="1" applyAlignment="1" applyProtection="1">
      <alignment horizontal="center" vertical="center" wrapText="1"/>
      <protection locked="0"/>
    </xf>
    <xf numFmtId="0" fontId="64"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46" fillId="2" borderId="0" xfId="3" applyFill="1" applyAlignment="1">
      <alignment horizontal="center" vertical="center" wrapText="1"/>
    </xf>
    <xf numFmtId="169" fontId="3" fillId="0" borderId="0" xfId="0" applyNumberFormat="1" applyFont="1" applyAlignment="1">
      <alignment horizontal="center" vertical="center"/>
    </xf>
    <xf numFmtId="1" fontId="10" fillId="0" borderId="0" xfId="0" applyNumberFormat="1" applyFont="1" applyAlignment="1">
      <alignment horizontal="center"/>
    </xf>
    <xf numFmtId="1" fontId="10" fillId="0" borderId="1" xfId="0" applyNumberFormat="1" applyFont="1" applyBorder="1" applyAlignment="1">
      <alignment horizontal="center"/>
    </xf>
    <xf numFmtId="3" fontId="10" fillId="0" borderId="1" xfId="0" applyNumberFormat="1" applyFont="1" applyBorder="1" applyAlignment="1">
      <alignment horizontal="center"/>
    </xf>
    <xf numFmtId="166" fontId="33" fillId="3" borderId="1" xfId="2" applyNumberFormat="1" applyFont="1" applyFill="1" applyBorder="1" applyAlignment="1">
      <alignment horizontal="center" vertical="center"/>
    </xf>
    <xf numFmtId="0" fontId="14" fillId="3" borderId="1" xfId="0" applyFont="1" applyFill="1" applyBorder="1" applyAlignment="1">
      <alignment horizontal="center"/>
    </xf>
    <xf numFmtId="166" fontId="7" fillId="10" borderId="1" xfId="2" applyNumberFormat="1" applyFont="1" applyFill="1" applyBorder="1" applyAlignment="1">
      <alignment horizontal="center"/>
    </xf>
    <xf numFmtId="0" fontId="41" fillId="3" borderId="1" xfId="0" applyFont="1" applyFill="1" applyBorder="1" applyAlignment="1">
      <alignment horizontal="center" vertical="center" wrapText="1"/>
    </xf>
    <xf numFmtId="9" fontId="7" fillId="3" borderId="15" xfId="2" applyFont="1" applyFill="1" applyBorder="1" applyAlignment="1">
      <alignment horizontal="center" vertical="center"/>
    </xf>
    <xf numFmtId="1" fontId="7" fillId="3" borderId="1" xfId="0" applyNumberFormat="1" applyFont="1" applyFill="1" applyBorder="1" applyAlignment="1" applyProtection="1">
      <alignment horizontal="center" vertical="center" wrapText="1"/>
      <protection locked="0"/>
    </xf>
    <xf numFmtId="168" fontId="7" fillId="10" borderId="15" xfId="0" applyNumberFormat="1" applyFont="1" applyFill="1" applyBorder="1" applyAlignment="1">
      <alignment horizontal="center" vertical="center"/>
    </xf>
    <xf numFmtId="0" fontId="7" fillId="3" borderId="1" xfId="0" applyFont="1" applyFill="1" applyBorder="1" applyAlignment="1" applyProtection="1">
      <alignment horizontal="center" vertical="center" wrapText="1"/>
      <protection locked="0"/>
    </xf>
    <xf numFmtId="1" fontId="3" fillId="0" borderId="1" xfId="0" applyNumberFormat="1" applyFont="1" applyBorder="1" applyAlignment="1" applyProtection="1">
      <alignment horizontal="center" vertical="center" wrapText="1"/>
      <protection locked="0"/>
    </xf>
    <xf numFmtId="5" fontId="33" fillId="0" borderId="1" xfId="1" applyNumberFormat="1" applyFont="1" applyBorder="1" applyAlignment="1">
      <alignment horizontal="center"/>
    </xf>
    <xf numFmtId="9" fontId="33" fillId="0" borderId="1" xfId="2" applyFont="1" applyBorder="1" applyAlignment="1">
      <alignment horizontal="center"/>
    </xf>
    <xf numFmtId="166" fontId="3" fillId="3" borderId="1" xfId="2" applyNumberFormat="1" applyFont="1" applyFill="1" applyBorder="1" applyAlignment="1">
      <alignment horizontal="center" vertical="center"/>
    </xf>
    <xf numFmtId="0" fontId="82" fillId="0" borderId="0" xfId="0" applyFont="1"/>
    <xf numFmtId="0" fontId="25" fillId="4" borderId="10" xfId="0" applyFont="1" applyFill="1" applyBorder="1"/>
    <xf numFmtId="0" fontId="15" fillId="9" borderId="58" xfId="0" applyFont="1" applyFill="1" applyBorder="1"/>
    <xf numFmtId="0" fontId="16" fillId="0" borderId="27" xfId="0" applyFont="1" applyBorder="1" applyAlignment="1">
      <alignment horizontal="left"/>
    </xf>
    <xf numFmtId="0" fontId="15" fillId="9" borderId="8" xfId="0" applyFont="1" applyFill="1" applyBorder="1" applyAlignment="1">
      <alignment horizontal="left"/>
    </xf>
    <xf numFmtId="0" fontId="16" fillId="5" borderId="8" xfId="0" applyFont="1" applyFill="1" applyBorder="1" applyAlignment="1">
      <alignment horizontal="left"/>
    </xf>
    <xf numFmtId="0" fontId="15" fillId="9" borderId="59" xfId="0" applyFont="1" applyFill="1" applyBorder="1"/>
    <xf numFmtId="0" fontId="42" fillId="15" borderId="0" xfId="0" applyFont="1" applyFill="1"/>
    <xf numFmtId="0" fontId="0" fillId="0" borderId="14" xfId="0" applyBorder="1"/>
    <xf numFmtId="0" fontId="0" fillId="0" borderId="21" xfId="0" applyBorder="1"/>
    <xf numFmtId="0" fontId="0" fillId="0" borderId="22" xfId="0" applyBorder="1"/>
    <xf numFmtId="0" fontId="16" fillId="7" borderId="20" xfId="0" applyFont="1" applyFill="1" applyBorder="1" applyAlignment="1">
      <alignment horizontal="left"/>
    </xf>
    <xf numFmtId="0" fontId="16" fillId="7" borderId="22" xfId="0" applyFont="1" applyFill="1" applyBorder="1" applyAlignment="1">
      <alignment horizontal="left"/>
    </xf>
    <xf numFmtId="166" fontId="8" fillId="2" borderId="1" xfId="2" applyNumberFormat="1" applyFont="1" applyFill="1" applyBorder="1" applyAlignment="1" applyProtection="1">
      <alignment horizontal="center" vertical="center" wrapText="1"/>
      <protection locked="0"/>
    </xf>
    <xf numFmtId="166" fontId="7" fillId="10" borderId="1" xfId="2" applyNumberFormat="1" applyFont="1" applyFill="1" applyBorder="1" applyAlignment="1">
      <alignment horizontal="center" wrapText="1"/>
    </xf>
    <xf numFmtId="165" fontId="7" fillId="10" borderId="1" xfId="0" applyNumberFormat="1" applyFont="1" applyFill="1" applyBorder="1" applyAlignment="1">
      <alignment horizontal="center"/>
    </xf>
    <xf numFmtId="0" fontId="83" fillId="0" borderId="0" xfId="0" applyFont="1"/>
    <xf numFmtId="0" fontId="84" fillId="0" borderId="0" xfId="0" applyFont="1"/>
    <xf numFmtId="0" fontId="7" fillId="2" borderId="1" xfId="0" applyFont="1" applyFill="1" applyBorder="1" applyAlignment="1">
      <alignment vertical="center" wrapText="1"/>
    </xf>
    <xf numFmtId="0" fontId="53" fillId="0" borderId="0" xfId="0" applyFont="1" applyAlignment="1">
      <alignment vertical="center"/>
    </xf>
    <xf numFmtId="0" fontId="33" fillId="0" borderId="15" xfId="0" applyFont="1" applyBorder="1" applyAlignment="1">
      <alignment horizontal="center"/>
    </xf>
    <xf numFmtId="0" fontId="33" fillId="0" borderId="56" xfId="0" applyFont="1" applyBorder="1" applyAlignment="1">
      <alignment horizontal="center"/>
    </xf>
    <xf numFmtId="0" fontId="33" fillId="0" borderId="18" xfId="0" applyFont="1" applyBorder="1" applyAlignment="1">
      <alignment horizontal="center"/>
    </xf>
    <xf numFmtId="0" fontId="33" fillId="0" borderId="30" xfId="0" applyFont="1" applyBorder="1" applyAlignment="1">
      <alignment horizontal="center"/>
    </xf>
    <xf numFmtId="0" fontId="33" fillId="0" borderId="2" xfId="0" applyFont="1" applyBorder="1" applyAlignment="1">
      <alignment horizontal="center"/>
    </xf>
    <xf numFmtId="0" fontId="33" fillId="0" borderId="3" xfId="0" applyFont="1" applyBorder="1" applyAlignment="1">
      <alignment horizontal="center"/>
    </xf>
    <xf numFmtId="168" fontId="33" fillId="0" borderId="1" xfId="0" applyNumberFormat="1" applyFont="1" applyBorder="1" applyAlignment="1">
      <alignment horizontal="center"/>
    </xf>
    <xf numFmtId="0" fontId="8" fillId="2" borderId="0" xfId="0" applyFont="1" applyFill="1" applyAlignment="1">
      <alignment horizontal="center"/>
    </xf>
    <xf numFmtId="1" fontId="7" fillId="3" borderId="11" xfId="0" applyNumberFormat="1" applyFont="1" applyFill="1" applyBorder="1" applyAlignment="1" applyProtection="1">
      <alignment horizontal="center" vertical="center" wrapText="1"/>
      <protection locked="0"/>
    </xf>
    <xf numFmtId="0" fontId="62" fillId="0" borderId="1" xfId="0" applyFont="1" applyBorder="1" applyAlignment="1" applyProtection="1">
      <alignment horizontal="center" vertical="center" wrapText="1"/>
      <protection locked="0"/>
    </xf>
    <xf numFmtId="1" fontId="33" fillId="11" borderId="11" xfId="0" applyNumberFormat="1" applyFont="1" applyFill="1" applyBorder="1" applyAlignment="1">
      <alignment horizontal="center"/>
    </xf>
    <xf numFmtId="165" fontId="7" fillId="10" borderId="15" xfId="0" applyNumberFormat="1" applyFont="1" applyFill="1" applyBorder="1" applyAlignment="1">
      <alignment horizontal="center" vertical="center"/>
    </xf>
    <xf numFmtId="175" fontId="33" fillId="11" borderId="11" xfId="0" applyNumberFormat="1" applyFont="1" applyFill="1" applyBorder="1" applyAlignment="1">
      <alignment horizontal="center"/>
    </xf>
    <xf numFmtId="0" fontId="33" fillId="0" borderId="32" xfId="0" applyFont="1" applyBorder="1" applyAlignment="1">
      <alignment horizontal="left" indent="1"/>
    </xf>
    <xf numFmtId="165" fontId="7" fillId="10" borderId="15" xfId="2" applyNumberFormat="1" applyFont="1" applyFill="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1" fontId="30" fillId="0" borderId="1" xfId="0" applyNumberFormat="1" applyFont="1" applyBorder="1" applyAlignment="1" applyProtection="1">
      <alignment horizontal="center" vertical="center" wrapText="1"/>
      <protection locked="0"/>
    </xf>
    <xf numFmtId="0" fontId="30" fillId="0" borderId="0" xfId="0" applyFont="1" applyAlignment="1">
      <alignment horizontal="left" vertical="center" indent="1"/>
    </xf>
    <xf numFmtId="0" fontId="30" fillId="0" borderId="14" xfId="0" applyFont="1" applyBorder="1" applyAlignment="1">
      <alignment vertical="center"/>
    </xf>
    <xf numFmtId="1" fontId="30" fillId="0" borderId="0" xfId="0" applyNumberFormat="1" applyFont="1" applyAlignment="1" applyProtection="1">
      <alignment horizontal="center"/>
      <protection locked="0"/>
    </xf>
    <xf numFmtId="0" fontId="30" fillId="0" borderId="0" xfId="0" applyFont="1" applyAlignment="1">
      <alignment horizontal="left" vertical="center" indent="2"/>
    </xf>
    <xf numFmtId="0" fontId="85" fillId="2" borderId="0" xfId="3" applyFont="1" applyFill="1" applyAlignment="1">
      <alignment horizontal="center" vertical="center" wrapText="1"/>
    </xf>
    <xf numFmtId="0" fontId="10" fillId="0" borderId="27" xfId="0" applyFont="1" applyBorder="1"/>
    <xf numFmtId="0" fontId="10" fillId="0" borderId="5" xfId="0" applyFont="1" applyBorder="1"/>
    <xf numFmtId="0" fontId="10" fillId="0" borderId="64" xfId="0" applyFont="1" applyBorder="1"/>
    <xf numFmtId="0" fontId="17" fillId="0" borderId="12" xfId="0" applyFont="1" applyBorder="1" applyAlignment="1">
      <alignment horizontal="left" vertical="center"/>
    </xf>
    <xf numFmtId="3" fontId="0" fillId="10" borderId="16" xfId="0" applyNumberFormat="1" applyFill="1" applyBorder="1" applyAlignment="1">
      <alignment horizontal="center"/>
    </xf>
    <xf numFmtId="0" fontId="17" fillId="0" borderId="13" xfId="0" applyFont="1" applyBorder="1" applyAlignment="1">
      <alignment horizontal="left" vertical="center"/>
    </xf>
    <xf numFmtId="3" fontId="0" fillId="10" borderId="17" xfId="0" applyNumberFormat="1" applyFill="1" applyBorder="1" applyAlignment="1">
      <alignment horizontal="center"/>
    </xf>
    <xf numFmtId="0" fontId="17" fillId="0" borderId="20" xfId="0" applyFont="1" applyBorder="1" applyAlignment="1">
      <alignment horizontal="left" vertical="center"/>
    </xf>
    <xf numFmtId="3" fontId="0" fillId="10" borderId="65" xfId="0" applyNumberFormat="1" applyFill="1" applyBorder="1" applyAlignment="1">
      <alignment horizontal="center"/>
    </xf>
    <xf numFmtId="0" fontId="26" fillId="2" borderId="0" xfId="0" applyFont="1" applyFill="1"/>
    <xf numFmtId="0" fontId="17" fillId="0" borderId="0" xfId="0" applyFont="1" applyAlignment="1">
      <alignment horizontal="center" vertical="center"/>
    </xf>
    <xf numFmtId="4" fontId="0" fillId="11" borderId="1" xfId="0" applyNumberFormat="1" applyFill="1" applyBorder="1" applyAlignment="1">
      <alignment horizontal="center"/>
    </xf>
    <xf numFmtId="4" fontId="0" fillId="11" borderId="3" xfId="0" applyNumberFormat="1" applyFill="1" applyBorder="1" applyAlignment="1">
      <alignment horizontal="center"/>
    </xf>
    <xf numFmtId="177" fontId="0" fillId="10" borderId="1" xfId="0" applyNumberFormat="1" applyFill="1" applyBorder="1" applyAlignment="1">
      <alignment horizontal="center"/>
    </xf>
    <xf numFmtId="1" fontId="3" fillId="10" borderId="1" xfId="0" applyNumberFormat="1" applyFont="1" applyFill="1" applyBorder="1" applyAlignment="1" applyProtection="1">
      <alignment horizontal="center" vertical="center"/>
      <protection locked="0"/>
    </xf>
    <xf numFmtId="1" fontId="3" fillId="0" borderId="27" xfId="0" applyNumberFormat="1" applyFont="1" applyBorder="1" applyAlignment="1" applyProtection="1">
      <alignment horizontal="center" vertical="center"/>
      <protection locked="0"/>
    </xf>
    <xf numFmtId="177" fontId="0" fillId="11" borderId="1" xfId="0" applyNumberFormat="1" applyFill="1" applyBorder="1" applyAlignment="1">
      <alignment horizontal="center"/>
    </xf>
    <xf numFmtId="178" fontId="0" fillId="11" borderId="1" xfId="0" applyNumberFormat="1" applyFill="1" applyBorder="1" applyAlignment="1">
      <alignment horizontal="center"/>
    </xf>
    <xf numFmtId="1" fontId="3" fillId="0" borderId="0" xfId="0" applyNumberFormat="1" applyFont="1" applyAlignment="1" applyProtection="1">
      <alignment horizontal="center" vertical="center"/>
      <protection locked="0"/>
    </xf>
    <xf numFmtId="1" fontId="46" fillId="11" borderId="1" xfId="3" applyNumberFormat="1" applyFill="1" applyBorder="1" applyAlignment="1" applyProtection="1">
      <alignment horizontal="center" vertical="center"/>
      <protection locked="0"/>
    </xf>
    <xf numFmtId="0" fontId="71" fillId="0" borderId="0" xfId="0" applyFont="1" applyAlignment="1">
      <alignment horizontal="left" vertical="center"/>
    </xf>
    <xf numFmtId="0" fontId="71" fillId="0" borderId="0" xfId="0" applyFont="1" applyAlignment="1">
      <alignment horizontal="left" vertical="center" indent="1"/>
    </xf>
    <xf numFmtId="0" fontId="8" fillId="0" borderId="12" xfId="0" applyFont="1" applyBorder="1" applyAlignment="1">
      <alignment horizontal="left" vertical="center"/>
    </xf>
    <xf numFmtId="3" fontId="3" fillId="10" borderId="1" xfId="1" applyNumberFormat="1" applyFont="1" applyFill="1" applyBorder="1" applyAlignment="1" applyProtection="1">
      <alignment horizontal="center" vertical="center"/>
    </xf>
    <xf numFmtId="0" fontId="0" fillId="0" borderId="1" xfId="0" applyBorder="1" applyAlignment="1">
      <alignment horizontal="center"/>
    </xf>
    <xf numFmtId="0" fontId="0" fillId="0" borderId="63" xfId="0" applyBorder="1"/>
    <xf numFmtId="0" fontId="17" fillId="0" borderId="13" xfId="0" applyFont="1" applyBorder="1"/>
    <xf numFmtId="0" fontId="86" fillId="0" borderId="0" xfId="0" applyFont="1"/>
    <xf numFmtId="37" fontId="19" fillId="10" borderId="62" xfId="8" applyNumberFormat="1" applyFont="1" applyFill="1" applyBorder="1" applyAlignment="1">
      <alignment horizontal="center"/>
    </xf>
    <xf numFmtId="43" fontId="80" fillId="0" borderId="0" xfId="8" applyFont="1"/>
    <xf numFmtId="43" fontId="0" fillId="0" borderId="0" xfId="8" applyFont="1"/>
    <xf numFmtId="43" fontId="0" fillId="0" borderId="0" xfId="8" applyFont="1" applyAlignment="1">
      <alignment horizontal="center"/>
    </xf>
    <xf numFmtId="0" fontId="8" fillId="2" borderId="0" xfId="0" applyFont="1" applyFill="1" applyAlignment="1" applyProtection="1">
      <alignment horizontal="center" vertical="center" wrapText="1"/>
      <protection locked="0"/>
    </xf>
    <xf numFmtId="9" fontId="0" fillId="0" borderId="0" xfId="0" applyNumberFormat="1"/>
    <xf numFmtId="0" fontId="17" fillId="0" borderId="4" xfId="0" applyFont="1" applyBorder="1"/>
    <xf numFmtId="0" fontId="7" fillId="0" borderId="6" xfId="0" applyFont="1" applyBorder="1" applyAlignment="1">
      <alignment horizontal="left" vertical="center" indent="1"/>
    </xf>
    <xf numFmtId="0" fontId="7" fillId="0" borderId="29" xfId="0" applyFont="1" applyBorder="1" applyAlignment="1">
      <alignment horizontal="left" vertical="center" indent="1"/>
    </xf>
    <xf numFmtId="9" fontId="19" fillId="10" borderId="1" xfId="2" applyFont="1" applyFill="1" applyBorder="1" applyAlignment="1">
      <alignment horizontal="center"/>
    </xf>
    <xf numFmtId="0" fontId="71" fillId="0" borderId="36" xfId="0" applyFont="1" applyBorder="1" applyAlignment="1">
      <alignment horizontal="center" vertical="center"/>
    </xf>
    <xf numFmtId="0" fontId="28" fillId="12" borderId="12" xfId="0" applyFont="1" applyFill="1" applyBorder="1" applyAlignment="1">
      <alignment vertical="center"/>
    </xf>
    <xf numFmtId="0" fontId="28" fillId="12" borderId="10" xfId="0" applyFont="1" applyFill="1" applyBorder="1" applyAlignment="1">
      <alignment vertical="center"/>
    </xf>
    <xf numFmtId="0" fontId="8" fillId="0" borderId="33" xfId="0" applyFont="1" applyBorder="1" applyAlignment="1">
      <alignment horizontal="left" vertical="center"/>
    </xf>
    <xf numFmtId="0" fontId="0" fillId="0" borderId="66" xfId="0" applyBorder="1"/>
    <xf numFmtId="0" fontId="0" fillId="0" borderId="6" xfId="0" applyBorder="1" applyAlignment="1">
      <alignment horizontal="left" indent="1"/>
    </xf>
    <xf numFmtId="0" fontId="8" fillId="0" borderId="6" xfId="0" applyFont="1" applyBorder="1" applyAlignment="1">
      <alignment horizontal="left" vertical="center"/>
    </xf>
    <xf numFmtId="4" fontId="0" fillId="0" borderId="67" xfId="0" applyNumberFormat="1" applyBorder="1" applyAlignment="1">
      <alignment horizontal="center"/>
    </xf>
    <xf numFmtId="0" fontId="0" fillId="0" borderId="29" xfId="0" applyBorder="1" applyAlignment="1">
      <alignment horizontal="left" indent="1"/>
    </xf>
    <xf numFmtId="0" fontId="16" fillId="0" borderId="60" xfId="0" applyFont="1" applyBorder="1" applyAlignment="1">
      <alignment horizontal="center"/>
    </xf>
    <xf numFmtId="0" fontId="0" fillId="0" borderId="67" xfId="0" applyBorder="1"/>
    <xf numFmtId="0" fontId="0" fillId="0" borderId="61" xfId="0" applyBorder="1"/>
    <xf numFmtId="3" fontId="19" fillId="11" borderId="1" xfId="0" applyNumberFormat="1" applyFont="1" applyFill="1" applyBorder="1" applyAlignment="1">
      <alignment horizontal="center"/>
    </xf>
    <xf numFmtId="3" fontId="19" fillId="11" borderId="30" xfId="0" applyNumberFormat="1" applyFont="1" applyFill="1" applyBorder="1" applyAlignment="1">
      <alignment horizontal="center" vertical="center"/>
    </xf>
    <xf numFmtId="43" fontId="1" fillId="0" borderId="0" xfId="8" applyFont="1" applyAlignment="1">
      <alignment horizontal="center"/>
    </xf>
    <xf numFmtId="0" fontId="8" fillId="0" borderId="1" xfId="0" applyFont="1" applyBorder="1" applyAlignment="1">
      <alignment horizontal="left" vertical="center" indent="1"/>
    </xf>
    <xf numFmtId="3" fontId="16" fillId="10" borderId="1" xfId="0" applyNumberFormat="1" applyFont="1" applyFill="1" applyBorder="1" applyAlignment="1">
      <alignment horizontal="center"/>
    </xf>
    <xf numFmtId="1" fontId="30" fillId="0" borderId="0" xfId="0" applyNumberFormat="1" applyFont="1" applyAlignment="1">
      <alignment horizontal="left"/>
    </xf>
    <xf numFmtId="3" fontId="33" fillId="25" borderId="1" xfId="0" applyNumberFormat="1" applyFont="1" applyFill="1" applyBorder="1" applyAlignment="1">
      <alignment horizontal="center"/>
    </xf>
    <xf numFmtId="3" fontId="41" fillId="25" borderId="1" xfId="0" applyNumberFormat="1" applyFont="1" applyFill="1" applyBorder="1" applyAlignment="1">
      <alignment horizontal="center"/>
    </xf>
    <xf numFmtId="0" fontId="33" fillId="0" borderId="33" xfId="0" applyFont="1" applyBorder="1"/>
    <xf numFmtId="0" fontId="0" fillId="0" borderId="68" xfId="0" applyBorder="1"/>
    <xf numFmtId="0" fontId="33" fillId="0" borderId="6" xfId="0" applyFont="1" applyBorder="1"/>
    <xf numFmtId="0" fontId="33" fillId="0" borderId="29" xfId="0" applyFont="1" applyBorder="1"/>
    <xf numFmtId="0" fontId="0" fillId="0" borderId="69" xfId="0" applyBorder="1"/>
    <xf numFmtId="3" fontId="33" fillId="25" borderId="5" xfId="0" applyNumberFormat="1" applyFont="1" applyFill="1" applyBorder="1" applyAlignment="1">
      <alignment horizontal="center"/>
    </xf>
    <xf numFmtId="175" fontId="33" fillId="25" borderId="5" xfId="0" applyNumberFormat="1" applyFont="1" applyFill="1" applyBorder="1" applyAlignment="1">
      <alignment horizontal="center"/>
    </xf>
    <xf numFmtId="1" fontId="0" fillId="0" borderId="1" xfId="0" applyNumberFormat="1" applyBorder="1" applyAlignment="1">
      <alignment horizontal="center"/>
    </xf>
    <xf numFmtId="166" fontId="0" fillId="0" borderId="1" xfId="2" applyNumberFormat="1" applyFont="1" applyBorder="1" applyAlignment="1">
      <alignment horizontal="center"/>
    </xf>
    <xf numFmtId="3" fontId="0" fillId="0" borderId="1" xfId="0" applyNumberFormat="1" applyBorder="1" applyAlignment="1">
      <alignment horizontal="center"/>
    </xf>
    <xf numFmtId="1" fontId="87" fillId="0" borderId="0" xfId="0" applyNumberFormat="1" applyFont="1" applyAlignment="1">
      <alignment horizontal="center"/>
    </xf>
    <xf numFmtId="0" fontId="19" fillId="0" borderId="0" xfId="0" applyFont="1" applyAlignment="1">
      <alignment horizontal="center"/>
    </xf>
    <xf numFmtId="0" fontId="10" fillId="0" borderId="67" xfId="0" applyFont="1" applyBorder="1" applyAlignment="1">
      <alignment horizontal="right"/>
    </xf>
    <xf numFmtId="0" fontId="17" fillId="0" borderId="69" xfId="0" applyFont="1" applyBorder="1"/>
    <xf numFmtId="0" fontId="17" fillId="0" borderId="1" xfId="0" applyFont="1" applyBorder="1"/>
    <xf numFmtId="165" fontId="28" fillId="4" borderId="8" xfId="0" applyNumberFormat="1" applyFont="1" applyFill="1" applyBorder="1" applyAlignment="1">
      <alignment horizontal="center"/>
    </xf>
    <xf numFmtId="0" fontId="44" fillId="0" borderId="0" xfId="0" applyFont="1" applyAlignment="1">
      <alignment vertical="center"/>
    </xf>
    <xf numFmtId="0" fontId="0" fillId="0" borderId="1" xfId="0" applyBorder="1" applyAlignment="1">
      <alignment horizontal="left"/>
    </xf>
    <xf numFmtId="0" fontId="89" fillId="0" borderId="0" xfId="0" applyFont="1" applyAlignment="1">
      <alignment horizontal="center"/>
    </xf>
    <xf numFmtId="168" fontId="7" fillId="10" borderId="1" xfId="0" applyNumberFormat="1" applyFont="1" applyFill="1" applyBorder="1" applyAlignment="1" applyProtection="1">
      <alignment horizontal="center" vertical="center"/>
      <protection locked="0"/>
    </xf>
    <xf numFmtId="0" fontId="41" fillId="0" borderId="1" xfId="0" applyFont="1" applyBorder="1" applyAlignment="1">
      <alignment horizontal="left" indent="1"/>
    </xf>
    <xf numFmtId="166" fontId="7" fillId="10" borderId="1" xfId="2" applyNumberFormat="1" applyFont="1" applyFill="1" applyBorder="1" applyAlignment="1" applyProtection="1">
      <alignment horizontal="center" vertical="center"/>
      <protection locked="0"/>
    </xf>
    <xf numFmtId="0" fontId="39" fillId="0" borderId="0" xfId="0" applyFont="1"/>
    <xf numFmtId="3" fontId="7" fillId="10" borderId="1" xfId="0" applyNumberFormat="1" applyFont="1" applyFill="1" applyBorder="1" applyAlignment="1" applyProtection="1">
      <alignment horizontal="center" vertical="center"/>
      <protection locked="0"/>
    </xf>
    <xf numFmtId="3" fontId="41" fillId="10" borderId="1" xfId="1" applyNumberFormat="1" applyFont="1" applyFill="1" applyBorder="1" applyAlignment="1">
      <alignment horizontal="center" vertical="center"/>
    </xf>
    <xf numFmtId="165" fontId="19" fillId="10" borderId="1" xfId="0" applyNumberFormat="1" applyFont="1" applyFill="1" applyBorder="1" applyAlignment="1">
      <alignment horizontal="center"/>
    </xf>
    <xf numFmtId="0" fontId="7" fillId="26" borderId="1" xfId="0" applyFont="1" applyFill="1" applyBorder="1" applyAlignment="1">
      <alignment horizontal="center"/>
    </xf>
    <xf numFmtId="0" fontId="7" fillId="27" borderId="1" xfId="0" applyFont="1" applyFill="1" applyBorder="1" applyAlignment="1">
      <alignment horizontal="center"/>
    </xf>
    <xf numFmtId="166" fontId="7" fillId="27" borderId="1" xfId="2" applyNumberFormat="1" applyFont="1" applyFill="1" applyBorder="1" applyAlignment="1">
      <alignment horizontal="center"/>
    </xf>
    <xf numFmtId="0" fontId="13" fillId="0" borderId="1" xfId="0" applyFont="1" applyBorder="1"/>
    <xf numFmtId="0" fontId="42" fillId="3" borderId="0" xfId="0" applyFont="1" applyFill="1"/>
    <xf numFmtId="0" fontId="31" fillId="11" borderId="0" xfId="0" applyFont="1" applyFill="1" applyAlignment="1">
      <alignment horizontal="center" vertical="center"/>
    </xf>
    <xf numFmtId="0" fontId="7" fillId="28" borderId="0" xfId="0" applyFont="1" applyFill="1"/>
    <xf numFmtId="0" fontId="42" fillId="0" borderId="0" xfId="0" applyFont="1" applyAlignment="1" applyProtection="1">
      <alignment horizontal="center"/>
      <protection locked="0"/>
    </xf>
    <xf numFmtId="0" fontId="13" fillId="0" borderId="6" xfId="0" applyFont="1" applyBorder="1" applyAlignment="1">
      <alignment horizontal="left" vertical="center"/>
    </xf>
    <xf numFmtId="0" fontId="13" fillId="0" borderId="29" xfId="0" applyFont="1" applyBorder="1" applyAlignment="1">
      <alignment horizontal="left" vertical="center"/>
    </xf>
    <xf numFmtId="0" fontId="7" fillId="0" borderId="33" xfId="0" applyFont="1" applyBorder="1" applyAlignment="1">
      <alignment horizontal="left" vertical="center"/>
    </xf>
    <xf numFmtId="0" fontId="7" fillId="0" borderId="6" xfId="0" applyFont="1" applyBorder="1" applyAlignment="1">
      <alignment horizontal="left" vertical="center"/>
    </xf>
    <xf numFmtId="0" fontId="39" fillId="0" borderId="0" xfId="0" applyFont="1" applyAlignment="1" applyProtection="1">
      <alignment horizontal="center"/>
      <protection locked="0"/>
    </xf>
    <xf numFmtId="0" fontId="31" fillId="0" borderId="0" xfId="0" applyFont="1" applyAlignment="1">
      <alignment horizontal="center"/>
    </xf>
    <xf numFmtId="0" fontId="44" fillId="0" borderId="0" xfId="0" applyFont="1" applyAlignment="1" applyProtection="1">
      <alignment horizontal="center"/>
      <protection locked="0"/>
    </xf>
    <xf numFmtId="166" fontId="41" fillId="0" borderId="11" xfId="2" applyNumberFormat="1" applyFont="1" applyFill="1" applyBorder="1" applyAlignment="1">
      <alignment horizontal="center"/>
    </xf>
    <xf numFmtId="3" fontId="7" fillId="11" borderId="15" xfId="0" applyNumberFormat="1" applyFont="1" applyFill="1" applyBorder="1" applyAlignment="1">
      <alignment horizontal="center" vertical="center"/>
    </xf>
    <xf numFmtId="0" fontId="41" fillId="11" borderId="1" xfId="0" applyFont="1" applyFill="1" applyBorder="1" applyAlignment="1">
      <alignment horizontal="center"/>
    </xf>
    <xf numFmtId="166" fontId="41" fillId="11" borderId="1" xfId="2" applyNumberFormat="1" applyFont="1" applyFill="1" applyBorder="1" applyAlignment="1">
      <alignment horizontal="center"/>
    </xf>
    <xf numFmtId="3" fontId="7" fillId="11" borderId="1" xfId="0" applyNumberFormat="1" applyFont="1" applyFill="1" applyBorder="1" applyAlignment="1" applyProtection="1">
      <alignment horizontal="center" vertical="center"/>
      <protection locked="0"/>
    </xf>
    <xf numFmtId="166" fontId="7" fillId="11" borderId="1" xfId="2" applyNumberFormat="1" applyFont="1" applyFill="1" applyBorder="1" applyAlignment="1" applyProtection="1">
      <alignment horizontal="center" vertical="center"/>
      <protection locked="0"/>
    </xf>
    <xf numFmtId="4" fontId="7" fillId="11" borderId="1" xfId="0" applyNumberFormat="1" applyFont="1" applyFill="1" applyBorder="1" applyAlignment="1" applyProtection="1">
      <alignment horizontal="center" vertical="center"/>
      <protection locked="0"/>
    </xf>
    <xf numFmtId="10" fontId="7" fillId="10" borderId="15" xfId="2" applyNumberFormat="1" applyFont="1" applyFill="1" applyBorder="1" applyAlignment="1">
      <alignment horizontal="center" vertical="center"/>
    </xf>
    <xf numFmtId="0" fontId="19" fillId="0" borderId="1" xfId="0" applyFont="1" applyBorder="1"/>
    <xf numFmtId="3" fontId="3" fillId="0" borderId="1" xfId="0" applyNumberFormat="1" applyFont="1" applyBorder="1" applyAlignment="1" applyProtection="1">
      <alignment horizontal="center" vertical="center"/>
      <protection locked="0"/>
    </xf>
    <xf numFmtId="0" fontId="80" fillId="0" borderId="0" xfId="0" applyFont="1" applyAlignment="1">
      <alignment horizontal="center"/>
    </xf>
    <xf numFmtId="0" fontId="31" fillId="0" borderId="57" xfId="0" applyFont="1" applyBorder="1" applyAlignment="1">
      <alignment horizontal="center"/>
    </xf>
    <xf numFmtId="0" fontId="11" fillId="0" borderId="0" xfId="0" applyFont="1" applyAlignment="1">
      <alignment horizontal="center" vertical="center" wrapText="1"/>
    </xf>
    <xf numFmtId="0" fontId="31" fillId="0" borderId="27" xfId="0" applyFont="1" applyBorder="1" applyAlignment="1">
      <alignment horizontal="center"/>
    </xf>
    <xf numFmtId="2" fontId="19" fillId="11" borderId="1" xfId="0" applyNumberFormat="1" applyFont="1" applyFill="1" applyBorder="1" applyAlignment="1">
      <alignment horizontal="center"/>
    </xf>
    <xf numFmtId="3" fontId="19" fillId="10" borderId="1" xfId="0" applyNumberFormat="1" applyFont="1" applyFill="1" applyBorder="1" applyAlignment="1">
      <alignment horizontal="center"/>
    </xf>
    <xf numFmtId="167" fontId="19" fillId="11" borderId="1" xfId="1" applyNumberFormat="1" applyFont="1" applyFill="1" applyBorder="1" applyAlignment="1">
      <alignment horizontal="center"/>
    </xf>
    <xf numFmtId="167" fontId="19" fillId="0" borderId="27" xfId="0" applyNumberFormat="1" applyFont="1" applyBorder="1" applyAlignment="1">
      <alignment horizontal="center"/>
    </xf>
    <xf numFmtId="165" fontId="71" fillId="10" borderId="11" xfId="0" applyNumberFormat="1" applyFont="1" applyFill="1" applyBorder="1" applyAlignment="1">
      <alignment horizontal="center"/>
    </xf>
    <xf numFmtId="0" fontId="91" fillId="11" borderId="1" xfId="3" applyFont="1" applyFill="1" applyBorder="1" applyAlignment="1">
      <alignment horizontal="center"/>
    </xf>
    <xf numFmtId="3" fontId="7" fillId="0" borderId="1" xfId="0" applyNumberFormat="1" applyFont="1" applyBorder="1" applyAlignment="1">
      <alignment horizontal="center" vertical="center"/>
    </xf>
    <xf numFmtId="1" fontId="3" fillId="0" borderId="3" xfId="0" applyNumberFormat="1" applyFont="1" applyBorder="1" applyAlignment="1" applyProtection="1">
      <alignment horizontal="center" vertical="center"/>
      <protection locked="0"/>
    </xf>
    <xf numFmtId="0" fontId="31" fillId="2" borderId="0" xfId="0" applyFont="1" applyFill="1" applyAlignment="1">
      <alignment horizontal="center"/>
    </xf>
    <xf numFmtId="0" fontId="42" fillId="2" borderId="0" xfId="0" applyFont="1" applyFill="1" applyAlignment="1" applyProtection="1">
      <alignment horizontal="center"/>
      <protection locked="0"/>
    </xf>
    <xf numFmtId="0" fontId="90" fillId="0" borderId="0" xfId="0" applyFont="1" applyAlignment="1">
      <alignment horizontal="center"/>
    </xf>
    <xf numFmtId="165" fontId="19" fillId="11" borderId="1" xfId="0" applyNumberFormat="1" applyFont="1" applyFill="1" applyBorder="1" applyAlignment="1">
      <alignment horizontal="center"/>
    </xf>
    <xf numFmtId="165" fontId="7" fillId="11" borderId="15" xfId="0" applyNumberFormat="1" applyFont="1" applyFill="1" applyBorder="1" applyAlignment="1">
      <alignment horizontal="center" vertical="center"/>
    </xf>
    <xf numFmtId="179" fontId="7" fillId="11" borderId="15" xfId="2" applyNumberFormat="1" applyFont="1" applyFill="1" applyBorder="1" applyAlignment="1" applyProtection="1">
      <alignment horizontal="center" vertical="center"/>
      <protection locked="0"/>
    </xf>
    <xf numFmtId="0" fontId="80" fillId="0" borderId="0" xfId="0" applyFont="1" applyAlignment="1">
      <alignment horizontal="center" vertical="center"/>
    </xf>
    <xf numFmtId="0" fontId="80" fillId="0" borderId="0" xfId="0" applyFont="1"/>
    <xf numFmtId="0" fontId="31" fillId="0" borderId="0" xfId="0" applyFont="1" applyAlignment="1">
      <alignment horizontal="center" vertical="center"/>
    </xf>
    <xf numFmtId="0" fontId="7" fillId="0" borderId="1" xfId="0" applyFont="1" applyBorder="1" applyAlignment="1">
      <alignment vertical="center" wrapText="1"/>
    </xf>
    <xf numFmtId="8" fontId="7" fillId="0" borderId="0" xfId="0" applyNumberFormat="1" applyFont="1"/>
    <xf numFmtId="6" fontId="41" fillId="0" borderId="0" xfId="0" applyNumberFormat="1" applyFont="1" applyAlignment="1">
      <alignment horizontal="center" vertical="center"/>
    </xf>
    <xf numFmtId="6" fontId="0" fillId="0" borderId="0" xfId="0" applyNumberFormat="1"/>
    <xf numFmtId="1" fontId="0" fillId="0" borderId="0" xfId="0" applyNumberFormat="1"/>
    <xf numFmtId="165" fontId="0" fillId="10" borderId="61" xfId="0" applyNumberFormat="1" applyFill="1" applyBorder="1" applyAlignment="1">
      <alignment horizontal="center"/>
    </xf>
    <xf numFmtId="0" fontId="0" fillId="0" borderId="35" xfId="0" applyBorder="1" applyAlignment="1">
      <alignment horizontal="left" indent="1"/>
    </xf>
    <xf numFmtId="0" fontId="0" fillId="0" borderId="24" xfId="0" applyBorder="1" applyAlignment="1">
      <alignment horizontal="left" indent="1"/>
    </xf>
    <xf numFmtId="0" fontId="0" fillId="0" borderId="39" xfId="0" applyBorder="1" applyAlignment="1">
      <alignment horizontal="left" indent="1"/>
    </xf>
    <xf numFmtId="166" fontId="2" fillId="0" borderId="1" xfId="2" applyNumberFormat="1" applyFont="1" applyFill="1" applyBorder="1" applyAlignment="1">
      <alignment horizontal="center"/>
    </xf>
    <xf numFmtId="180" fontId="0" fillId="0" borderId="0" xfId="0" applyNumberFormat="1" applyAlignment="1">
      <alignment horizontal="center"/>
    </xf>
    <xf numFmtId="167" fontId="33" fillId="0" borderId="0" xfId="0" applyNumberFormat="1" applyFont="1" applyAlignment="1">
      <alignment horizontal="center"/>
    </xf>
    <xf numFmtId="165" fontId="1" fillId="0" borderId="0" xfId="0" applyNumberFormat="1" applyFont="1"/>
    <xf numFmtId="0" fontId="0" fillId="28" borderId="0" xfId="0" applyFill="1"/>
    <xf numFmtId="181" fontId="33" fillId="0" borderId="0" xfId="0" applyNumberFormat="1" applyFont="1"/>
    <xf numFmtId="0" fontId="30" fillId="28" borderId="0" xfId="0" applyFont="1" applyFill="1"/>
    <xf numFmtId="0" fontId="42" fillId="28" borderId="0" xfId="0" applyFont="1" applyFill="1" applyAlignment="1" applyProtection="1">
      <alignment horizontal="center"/>
      <protection locked="0"/>
    </xf>
    <xf numFmtId="10" fontId="42" fillId="0" borderId="0" xfId="2" applyNumberFormat="1" applyFont="1" applyAlignment="1" applyProtection="1">
      <alignment horizontal="center"/>
      <protection locked="0"/>
    </xf>
    <xf numFmtId="0" fontId="0" fillId="29" borderId="12" xfId="0" applyFill="1" applyBorder="1"/>
    <xf numFmtId="0" fontId="13" fillId="0" borderId="70" xfId="0" applyFont="1" applyBorder="1" applyAlignment="1">
      <alignment horizontal="left" vertical="center"/>
    </xf>
    <xf numFmtId="166" fontId="7" fillId="3" borderId="25" xfId="2" applyNumberFormat="1" applyFont="1" applyFill="1" applyBorder="1" applyAlignment="1">
      <alignment horizontal="center"/>
    </xf>
    <xf numFmtId="0" fontId="0" fillId="29" borderId="13" xfId="0" applyFill="1" applyBorder="1"/>
    <xf numFmtId="0" fontId="0" fillId="29" borderId="20" xfId="0" applyFill="1" applyBorder="1"/>
    <xf numFmtId="0" fontId="13" fillId="0" borderId="71" xfId="0" applyFont="1" applyBorder="1" applyAlignment="1">
      <alignment horizontal="left" vertical="center"/>
    </xf>
    <xf numFmtId="166" fontId="7" fillId="3" borderId="62" xfId="2" applyNumberFormat="1" applyFont="1" applyFill="1" applyBorder="1" applyAlignment="1">
      <alignment horizontal="center"/>
    </xf>
    <xf numFmtId="166" fontId="0" fillId="11" borderId="72" xfId="2" applyNumberFormat="1" applyFont="1" applyFill="1" applyBorder="1" applyAlignment="1">
      <alignment horizontal="center"/>
    </xf>
    <xf numFmtId="166" fontId="0" fillId="11" borderId="4" xfId="2" applyNumberFormat="1" applyFont="1" applyFill="1" applyBorder="1" applyAlignment="1">
      <alignment horizontal="center"/>
    </xf>
    <xf numFmtId="166" fontId="0" fillId="11" borderId="73" xfId="2" applyNumberFormat="1" applyFont="1" applyFill="1" applyBorder="1" applyAlignment="1">
      <alignment horizontal="center"/>
    </xf>
    <xf numFmtId="0" fontId="44" fillId="28" borderId="0" xfId="0" applyFont="1" applyFill="1" applyAlignment="1" applyProtection="1">
      <alignment horizontal="center"/>
      <protection locked="0"/>
    </xf>
    <xf numFmtId="0" fontId="28" fillId="0" borderId="0" xfId="0" applyFont="1" applyAlignment="1">
      <alignment horizontal="left"/>
    </xf>
    <xf numFmtId="0" fontId="27" fillId="0" borderId="0" xfId="0" applyFont="1"/>
    <xf numFmtId="0" fontId="11" fillId="0" borderId="0" xfId="0" applyFont="1" applyAlignment="1">
      <alignment horizontal="center"/>
    </xf>
    <xf numFmtId="166" fontId="7" fillId="0" borderId="3" xfId="2" applyNumberFormat="1" applyFont="1" applyFill="1" applyBorder="1" applyAlignment="1">
      <alignment horizontal="center"/>
    </xf>
    <xf numFmtId="166" fontId="0" fillId="0" borderId="72" xfId="2" applyNumberFormat="1" applyFont="1" applyFill="1" applyBorder="1" applyAlignment="1">
      <alignment horizontal="center"/>
    </xf>
    <xf numFmtId="9" fontId="7" fillId="0" borderId="0" xfId="2" applyFont="1" applyFill="1" applyAlignment="1" applyProtection="1">
      <alignment horizontal="left"/>
      <protection locked="0"/>
    </xf>
    <xf numFmtId="9" fontId="31" fillId="0" borderId="0" xfId="2" applyFont="1" applyFill="1" applyAlignment="1">
      <alignment vertical="center" wrapText="1"/>
    </xf>
    <xf numFmtId="1" fontId="7" fillId="11" borderId="1" xfId="0" applyNumberFormat="1" applyFont="1" applyFill="1" applyBorder="1" applyAlignment="1" applyProtection="1">
      <alignment horizontal="left" vertical="center"/>
      <protection locked="0"/>
    </xf>
    <xf numFmtId="0" fontId="30" fillId="28" borderId="0" xfId="0" applyFont="1" applyFill="1" applyAlignment="1">
      <alignment horizontal="center"/>
    </xf>
    <xf numFmtId="0" fontId="33" fillId="28" borderId="0" xfId="0" applyFont="1" applyFill="1"/>
    <xf numFmtId="0" fontId="3" fillId="22" borderId="1" xfId="0" quotePrefix="1" applyFont="1" applyFill="1" applyBorder="1" applyAlignment="1" applyProtection="1">
      <alignment horizontal="center" vertical="center" wrapText="1"/>
      <protection locked="0"/>
    </xf>
    <xf numFmtId="0" fontId="3" fillId="31" borderId="1" xfId="0" applyFont="1" applyFill="1" applyBorder="1" applyAlignment="1">
      <alignment horizontal="center"/>
    </xf>
    <xf numFmtId="0" fontId="92" fillId="0" borderId="0" xfId="0" applyFont="1"/>
    <xf numFmtId="0" fontId="93" fillId="0" borderId="0" xfId="0" applyFont="1"/>
    <xf numFmtId="0" fontId="93" fillId="0" borderId="14" xfId="0" applyFont="1" applyBorder="1"/>
    <xf numFmtId="1" fontId="7" fillId="22" borderId="11" xfId="0" applyNumberFormat="1" applyFont="1" applyFill="1" applyBorder="1" applyAlignment="1" applyProtection="1">
      <alignment horizontal="center" vertical="center" wrapText="1"/>
      <protection locked="0"/>
    </xf>
    <xf numFmtId="1" fontId="93" fillId="21" borderId="11" xfId="0" applyNumberFormat="1" applyFont="1" applyFill="1" applyBorder="1" applyAlignment="1">
      <alignment horizontal="center"/>
    </xf>
    <xf numFmtId="165" fontId="93" fillId="21" borderId="15" xfId="2" applyNumberFormat="1" applyFont="1" applyFill="1" applyBorder="1" applyAlignment="1" applyProtection="1">
      <alignment horizontal="center" vertical="center"/>
      <protection locked="0"/>
    </xf>
    <xf numFmtId="9" fontId="7" fillId="21" borderId="15" xfId="2" applyFont="1" applyFill="1" applyBorder="1" applyAlignment="1">
      <alignment horizontal="center" vertical="center"/>
    </xf>
    <xf numFmtId="165" fontId="93" fillId="33" borderId="15" xfId="2" applyNumberFormat="1" applyFont="1" applyFill="1" applyBorder="1" applyAlignment="1" applyProtection="1">
      <alignment horizontal="center" vertical="center"/>
      <protection locked="0"/>
    </xf>
    <xf numFmtId="0" fontId="8" fillId="0" borderId="7" xfId="0" applyFont="1" applyBorder="1" applyAlignment="1">
      <alignment horizontal="left" vertical="center" indent="1"/>
    </xf>
    <xf numFmtId="0" fontId="8" fillId="0" borderId="8" xfId="0" applyFont="1" applyBorder="1" applyAlignment="1">
      <alignment horizontal="left" vertical="center" indent="1"/>
    </xf>
    <xf numFmtId="0" fontId="8" fillId="0" borderId="8" xfId="0" applyFont="1" applyBorder="1" applyAlignment="1">
      <alignment vertical="center"/>
    </xf>
    <xf numFmtId="169" fontId="95" fillId="31" borderId="11" xfId="2" applyNumberFormat="1" applyFont="1" applyFill="1" applyBorder="1" applyAlignment="1" applyProtection="1">
      <alignment horizontal="center" vertical="center"/>
      <protection locked="0"/>
    </xf>
    <xf numFmtId="1" fontId="41" fillId="11" borderId="1" xfId="0" applyNumberFormat="1" applyFont="1" applyFill="1" applyBorder="1" applyAlignment="1" applyProtection="1">
      <alignment horizontal="center" vertical="center"/>
      <protection locked="0"/>
    </xf>
    <xf numFmtId="0" fontId="31" fillId="28" borderId="0" xfId="0" applyFont="1" applyFill="1" applyAlignment="1">
      <alignment horizontal="center"/>
    </xf>
    <xf numFmtId="0" fontId="39" fillId="28" borderId="0" xfId="0" applyFont="1" applyFill="1" applyAlignment="1" applyProtection="1">
      <alignment horizontal="center"/>
      <protection locked="0"/>
    </xf>
    <xf numFmtId="182" fontId="33" fillId="0" borderId="0" xfId="0" applyNumberFormat="1" applyFont="1"/>
    <xf numFmtId="9" fontId="7" fillId="0" borderId="14" xfId="2" applyFont="1" applyBorder="1" applyAlignment="1">
      <alignment vertical="center"/>
    </xf>
    <xf numFmtId="10" fontId="7" fillId="0" borderId="14" xfId="0" applyNumberFormat="1" applyFont="1" applyBorder="1" applyAlignment="1">
      <alignment vertical="center"/>
    </xf>
    <xf numFmtId="0" fontId="0" fillId="28" borderId="0" xfId="0" applyFill="1" applyAlignment="1">
      <alignment horizontal="center"/>
    </xf>
    <xf numFmtId="0" fontId="3" fillId="28" borderId="0" xfId="0" applyFont="1" applyFill="1"/>
    <xf numFmtId="0" fontId="13" fillId="28" borderId="13" xfId="0" applyFont="1" applyFill="1" applyBorder="1" applyAlignment="1">
      <alignment horizontal="left" vertical="center" indent="1"/>
    </xf>
    <xf numFmtId="0" fontId="80" fillId="28" borderId="0" xfId="0" applyFont="1" applyFill="1" applyAlignment="1">
      <alignment horizontal="center"/>
    </xf>
    <xf numFmtId="0" fontId="39" fillId="0" borderId="0" xfId="0" applyFont="1" applyAlignment="1">
      <alignment horizontal="left" vertical="center" indent="1"/>
    </xf>
    <xf numFmtId="169" fontId="22" fillId="10" borderId="0" xfId="2" applyNumberFormat="1" applyFont="1" applyFill="1" applyBorder="1" applyAlignment="1" applyProtection="1">
      <alignment horizontal="center" vertical="center"/>
      <protection locked="0"/>
    </xf>
    <xf numFmtId="3" fontId="13" fillId="0" borderId="0" xfId="0" applyNumberFormat="1" applyFont="1" applyAlignment="1" applyProtection="1">
      <alignment horizontal="center" vertical="center"/>
      <protection locked="0"/>
    </xf>
    <xf numFmtId="169" fontId="22" fillId="0" borderId="0" xfId="2" applyNumberFormat="1" applyFont="1" applyFill="1" applyBorder="1" applyAlignment="1" applyProtection="1">
      <alignment horizontal="center" vertical="center"/>
      <protection locked="0"/>
    </xf>
    <xf numFmtId="166" fontId="14" fillId="0" borderId="0" xfId="0" applyNumberFormat="1" applyFont="1"/>
    <xf numFmtId="9" fontId="13" fillId="11" borderId="15" xfId="2" applyFont="1" applyFill="1" applyBorder="1" applyAlignment="1" applyProtection="1">
      <alignment horizontal="center" vertical="center"/>
    </xf>
    <xf numFmtId="9" fontId="3" fillId="0" borderId="0" xfId="0" applyNumberFormat="1" applyFont="1"/>
    <xf numFmtId="2" fontId="3" fillId="0" borderId="0" xfId="0" applyNumberFormat="1" applyFont="1"/>
    <xf numFmtId="174" fontId="13" fillId="0" borderId="15" xfId="1" applyNumberFormat="1" applyFont="1" applyFill="1" applyBorder="1" applyAlignment="1" applyProtection="1">
      <alignment horizontal="center" vertical="center"/>
    </xf>
    <xf numFmtId="167" fontId="7" fillId="0" borderId="0" xfId="0" applyNumberFormat="1" applyFont="1"/>
    <xf numFmtId="174" fontId="13" fillId="2" borderId="15" xfId="1" applyNumberFormat="1" applyFont="1" applyFill="1" applyBorder="1" applyAlignment="1" applyProtection="1">
      <alignment horizontal="center" vertical="center"/>
    </xf>
    <xf numFmtId="10" fontId="33" fillId="0" borderId="0" xfId="2" applyNumberFormat="1" applyFont="1"/>
    <xf numFmtId="165" fontId="3" fillId="0" borderId="0" xfId="0" applyNumberFormat="1" applyFont="1"/>
    <xf numFmtId="0" fontId="10" fillId="28" borderId="0" xfId="0" applyFont="1" applyFill="1" applyAlignment="1">
      <alignment horizontal="center"/>
    </xf>
    <xf numFmtId="0" fontId="1" fillId="28" borderId="0" xfId="0" applyFont="1" applyFill="1" applyAlignment="1">
      <alignment horizontal="center"/>
    </xf>
    <xf numFmtId="0" fontId="3" fillId="28" borderId="1" xfId="0" applyFont="1" applyFill="1" applyBorder="1" applyAlignment="1" applyProtection="1">
      <alignment horizontal="center" vertical="center" wrapText="1"/>
      <protection locked="0"/>
    </xf>
    <xf numFmtId="9" fontId="12" fillId="2" borderId="0" xfId="0" applyNumberFormat="1" applyFont="1" applyFill="1" applyAlignment="1">
      <alignment horizontal="center"/>
    </xf>
    <xf numFmtId="167" fontId="1" fillId="0" borderId="0" xfId="0" applyNumberFormat="1" applyFont="1" applyAlignment="1">
      <alignment horizontal="center"/>
    </xf>
    <xf numFmtId="167" fontId="0" fillId="0" borderId="0" xfId="0" applyNumberFormat="1" applyAlignment="1">
      <alignment horizontal="center"/>
    </xf>
    <xf numFmtId="0" fontId="3" fillId="28" borderId="0" xfId="0" applyFont="1" applyFill="1" applyAlignment="1">
      <alignment horizontal="right"/>
    </xf>
    <xf numFmtId="0" fontId="48" fillId="0" borderId="0" xfId="0" applyFont="1" applyAlignment="1">
      <alignment horizontal="right" vertical="center"/>
    </xf>
    <xf numFmtId="9" fontId="33" fillId="0" borderId="1" xfId="2" applyFont="1" applyBorder="1"/>
    <xf numFmtId="9" fontId="33" fillId="0" borderId="1" xfId="0" applyNumberFormat="1" applyFont="1" applyBorder="1"/>
    <xf numFmtId="0" fontId="10" fillId="0" borderId="1" xfId="0" applyFont="1" applyBorder="1"/>
    <xf numFmtId="0" fontId="33" fillId="28" borderId="1" xfId="0" applyFont="1" applyFill="1" applyBorder="1"/>
    <xf numFmtId="0" fontId="3" fillId="28" borderId="1" xfId="0" applyFont="1" applyFill="1" applyBorder="1" applyAlignment="1">
      <alignment horizontal="center"/>
    </xf>
    <xf numFmtId="9" fontId="33" fillId="28" borderId="1" xfId="2" applyFont="1" applyFill="1" applyBorder="1"/>
    <xf numFmtId="9" fontId="12" fillId="28" borderId="1" xfId="2" applyFont="1" applyFill="1" applyBorder="1" applyAlignment="1">
      <alignment horizontal="center"/>
    </xf>
    <xf numFmtId="9" fontId="3" fillId="28" borderId="1" xfId="2" applyFont="1" applyFill="1" applyBorder="1"/>
    <xf numFmtId="9" fontId="3" fillId="0" borderId="0" xfId="2" applyFont="1" applyAlignment="1">
      <alignment horizontal="center"/>
    </xf>
    <xf numFmtId="9" fontId="7" fillId="11" borderId="11" xfId="2" applyFont="1" applyFill="1" applyBorder="1" applyAlignment="1" applyProtection="1">
      <alignment horizontal="center" vertical="center"/>
      <protection locked="0"/>
    </xf>
    <xf numFmtId="0" fontId="7" fillId="28" borderId="13" xfId="0" applyFont="1" applyFill="1" applyBorder="1" applyAlignment="1">
      <alignment horizontal="left" vertical="center" indent="1"/>
    </xf>
    <xf numFmtId="0" fontId="6" fillId="0" borderId="0" xfId="0" applyFont="1"/>
    <xf numFmtId="1" fontId="46" fillId="0" borderId="0" xfId="3" applyNumberFormat="1" applyFill="1" applyAlignment="1" applyProtection="1">
      <alignment horizontal="center"/>
      <protection locked="0"/>
    </xf>
    <xf numFmtId="168" fontId="7" fillId="25" borderId="15" xfId="0" applyNumberFormat="1" applyFont="1" applyFill="1" applyBorder="1" applyAlignment="1" applyProtection="1">
      <alignment horizontal="center" vertical="center"/>
      <protection locked="0"/>
    </xf>
    <xf numFmtId="3" fontId="13" fillId="0" borderId="15" xfId="0" applyNumberFormat="1" applyFont="1" applyBorder="1" applyAlignment="1">
      <alignment horizontal="center" vertical="center"/>
    </xf>
    <xf numFmtId="0" fontId="7" fillId="28" borderId="20" xfId="0" applyFont="1" applyFill="1" applyBorder="1" applyAlignment="1">
      <alignment horizontal="left" vertical="center" indent="1"/>
    </xf>
    <xf numFmtId="6" fontId="3" fillId="0" borderId="0" xfId="0" applyNumberFormat="1" applyFont="1"/>
    <xf numFmtId="10" fontId="33" fillId="0" borderId="0" xfId="0" applyNumberFormat="1" applyFont="1"/>
    <xf numFmtId="183" fontId="12" fillId="2" borderId="0" xfId="0" applyNumberFormat="1" applyFont="1" applyFill="1" applyAlignment="1">
      <alignment horizontal="center"/>
    </xf>
    <xf numFmtId="184" fontId="5" fillId="0" borderId="0" xfId="0" applyNumberFormat="1" applyFont="1"/>
    <xf numFmtId="1" fontId="7" fillId="25" borderId="15" xfId="0" applyNumberFormat="1" applyFont="1" applyFill="1" applyBorder="1" applyAlignment="1" applyProtection="1">
      <alignment horizontal="center" vertical="center"/>
      <protection locked="0"/>
    </xf>
    <xf numFmtId="180" fontId="8" fillId="0" borderId="0" xfId="0" applyNumberFormat="1" applyFont="1" applyAlignment="1">
      <alignment horizontal="center" wrapText="1"/>
    </xf>
    <xf numFmtId="0" fontId="3" fillId="28" borderId="0" xfId="0" applyFont="1" applyFill="1" applyAlignment="1">
      <alignment horizontal="center"/>
    </xf>
    <xf numFmtId="166" fontId="7" fillId="28" borderId="1" xfId="0" applyNumberFormat="1" applyFont="1" applyFill="1" applyBorder="1" applyAlignment="1" applyProtection="1">
      <alignment horizontal="center" vertical="center"/>
      <protection locked="0"/>
    </xf>
    <xf numFmtId="166" fontId="7" fillId="28" borderId="4" xfId="0" applyNumberFormat="1" applyFont="1" applyFill="1" applyBorder="1" applyAlignment="1" applyProtection="1">
      <alignment horizontal="center" vertical="center"/>
      <protection locked="0"/>
    </xf>
    <xf numFmtId="9" fontId="7" fillId="25" borderId="0" xfId="2" applyFont="1" applyFill="1" applyAlignment="1">
      <alignment vertical="center"/>
    </xf>
    <xf numFmtId="0" fontId="80" fillId="28" borderId="0" xfId="0" applyFont="1" applyFill="1" applyAlignment="1">
      <alignment horizontal="center" vertical="center"/>
    </xf>
    <xf numFmtId="165" fontId="7" fillId="28" borderId="1" xfId="0" applyNumberFormat="1" applyFont="1" applyFill="1" applyBorder="1" applyAlignment="1">
      <alignment horizontal="center" wrapText="1"/>
    </xf>
    <xf numFmtId="3" fontId="33" fillId="28" borderId="1" xfId="0" applyNumberFormat="1" applyFont="1" applyFill="1" applyBorder="1" applyAlignment="1">
      <alignment horizontal="center"/>
    </xf>
    <xf numFmtId="3" fontId="41" fillId="28" borderId="1" xfId="0" applyNumberFormat="1" applyFont="1" applyFill="1" applyBorder="1" applyAlignment="1">
      <alignment horizontal="center"/>
    </xf>
    <xf numFmtId="175" fontId="33" fillId="28" borderId="5" xfId="0" applyNumberFormat="1" applyFont="1" applyFill="1" applyBorder="1" applyAlignment="1">
      <alignment horizontal="center"/>
    </xf>
    <xf numFmtId="165" fontId="0" fillId="28" borderId="3" xfId="0" applyNumberFormat="1" applyFill="1" applyBorder="1" applyAlignment="1">
      <alignment horizontal="center"/>
    </xf>
    <xf numFmtId="165" fontId="0" fillId="28" borderId="61" xfId="0" applyNumberFormat="1" applyFill="1" applyBorder="1" applyAlignment="1">
      <alignment horizontal="center"/>
    </xf>
    <xf numFmtId="165" fontId="0" fillId="28" borderId="0" xfId="0" applyNumberFormat="1" applyFill="1" applyAlignment="1">
      <alignment horizontal="center"/>
    </xf>
    <xf numFmtId="9" fontId="0" fillId="28" borderId="0" xfId="2" applyFont="1" applyFill="1" applyAlignment="1">
      <alignment horizontal="center"/>
    </xf>
    <xf numFmtId="1" fontId="1" fillId="28" borderId="0" xfId="0" applyNumberFormat="1" applyFont="1" applyFill="1" applyAlignment="1">
      <alignment horizontal="center"/>
    </xf>
    <xf numFmtId="1" fontId="0" fillId="28" borderId="0" xfId="0" applyNumberFormat="1" applyFill="1" applyAlignment="1">
      <alignment horizontal="center"/>
    </xf>
    <xf numFmtId="175" fontId="0" fillId="28" borderId="0" xfId="0" applyNumberFormat="1" applyFill="1" applyAlignment="1">
      <alignment horizontal="left"/>
    </xf>
    <xf numFmtId="165" fontId="0" fillId="28" borderId="11" xfId="0" applyNumberFormat="1" applyFill="1" applyBorder="1" applyAlignment="1">
      <alignment horizontal="center"/>
    </xf>
    <xf numFmtId="165" fontId="0" fillId="28" borderId="28" xfId="0" applyNumberFormat="1" applyFill="1" applyBorder="1" applyAlignment="1">
      <alignment horizontal="center"/>
    </xf>
    <xf numFmtId="165" fontId="0" fillId="28" borderId="1" xfId="0" applyNumberFormat="1" applyFill="1" applyBorder="1" applyAlignment="1">
      <alignment horizontal="center"/>
    </xf>
    <xf numFmtId="165" fontId="16" fillId="28" borderId="23" xfId="0" applyNumberFormat="1" applyFont="1" applyFill="1" applyBorder="1" applyAlignment="1">
      <alignment horizontal="center"/>
    </xf>
    <xf numFmtId="0" fontId="28" fillId="8" borderId="7" xfId="0" applyFont="1" applyFill="1" applyBorder="1" applyAlignment="1">
      <alignment horizontal="left"/>
    </xf>
    <xf numFmtId="0" fontId="28" fillId="8" borderId="9" xfId="0" applyFont="1" applyFill="1" applyBorder="1" applyAlignment="1">
      <alignment horizontal="left"/>
    </xf>
    <xf numFmtId="0" fontId="0" fillId="24" borderId="0" xfId="0" applyFill="1" applyAlignment="1">
      <alignment horizontal="left" vertical="center" wrapText="1"/>
    </xf>
    <xf numFmtId="0" fontId="0" fillId="24" borderId="0" xfId="0" applyFill="1" applyAlignment="1">
      <alignment horizontal="left" vertical="center" wrapText="1" indent="1"/>
    </xf>
    <xf numFmtId="3" fontId="3" fillId="0" borderId="0" xfId="0" applyNumberFormat="1" applyFont="1" applyAlignment="1">
      <alignment horizontal="left" wrapText="1"/>
    </xf>
    <xf numFmtId="0" fontId="94" fillId="32" borderId="7" xfId="0" applyFont="1" applyFill="1" applyBorder="1" applyAlignment="1">
      <alignment horizontal="left" vertical="center"/>
    </xf>
    <xf numFmtId="0" fontId="94" fillId="32" borderId="8" xfId="0" applyFont="1" applyFill="1" applyBorder="1" applyAlignment="1">
      <alignment horizontal="left" vertical="center"/>
    </xf>
    <xf numFmtId="0" fontId="94" fillId="32" borderId="9" xfId="0" applyFont="1" applyFill="1" applyBorder="1" applyAlignment="1">
      <alignment horizontal="left" vertical="center"/>
    </xf>
    <xf numFmtId="0" fontId="79" fillId="14" borderId="57" xfId="0" applyFont="1" applyFill="1" applyBorder="1" applyAlignment="1">
      <alignment horizontal="center" wrapText="1"/>
    </xf>
    <xf numFmtId="0" fontId="42" fillId="0" borderId="0" xfId="0" applyFont="1" applyAlignment="1" applyProtection="1">
      <alignment horizontal="center"/>
      <protection locked="0"/>
    </xf>
    <xf numFmtId="0" fontId="28" fillId="12" borderId="7" xfId="0" applyFont="1" applyFill="1" applyBorder="1" applyAlignment="1">
      <alignment horizontal="left" vertical="center"/>
    </xf>
    <xf numFmtId="0" fontId="28" fillId="12" borderId="8" xfId="0" applyFont="1" applyFill="1" applyBorder="1" applyAlignment="1">
      <alignment horizontal="left" vertical="center"/>
    </xf>
    <xf numFmtId="0" fontId="28" fillId="12" borderId="9" xfId="0" applyFont="1" applyFill="1" applyBorder="1" applyAlignment="1">
      <alignment horizontal="left" vertical="center"/>
    </xf>
    <xf numFmtId="0" fontId="28" fillId="12" borderId="7" xfId="0" applyFont="1" applyFill="1" applyBorder="1" applyAlignment="1">
      <alignment horizontal="left"/>
    </xf>
    <xf numFmtId="0" fontId="28" fillId="12" borderId="8" xfId="0" applyFont="1" applyFill="1" applyBorder="1" applyAlignment="1">
      <alignment horizontal="left"/>
    </xf>
    <xf numFmtId="10" fontId="13" fillId="30" borderId="1" xfId="2" applyNumberFormat="1" applyFont="1" applyFill="1" applyBorder="1" applyAlignment="1">
      <alignment horizontal="center" vertical="center"/>
    </xf>
    <xf numFmtId="10" fontId="13" fillId="30" borderId="30" xfId="2" applyNumberFormat="1" applyFont="1" applyFill="1" applyBorder="1" applyAlignment="1">
      <alignment horizontal="center" vertical="center"/>
    </xf>
    <xf numFmtId="10" fontId="13" fillId="30" borderId="2" xfId="2" applyNumberFormat="1" applyFont="1" applyFill="1" applyBorder="1" applyAlignment="1">
      <alignment horizontal="center" vertical="center"/>
    </xf>
    <xf numFmtId="10" fontId="13" fillId="30" borderId="3" xfId="2" applyNumberFormat="1" applyFont="1" applyFill="1" applyBorder="1" applyAlignment="1">
      <alignment horizontal="center" vertical="center"/>
    </xf>
    <xf numFmtId="10" fontId="13" fillId="0" borderId="30" xfId="2" applyNumberFormat="1" applyFont="1" applyBorder="1" applyAlignment="1">
      <alignment horizontal="center" vertical="center"/>
    </xf>
    <xf numFmtId="10" fontId="13" fillId="0" borderId="2" xfId="2" applyNumberFormat="1" applyFont="1" applyBorder="1" applyAlignment="1">
      <alignment horizontal="center" vertical="center"/>
    </xf>
    <xf numFmtId="10" fontId="13" fillId="0" borderId="3" xfId="2" applyNumberFormat="1" applyFont="1" applyBorder="1" applyAlignment="1">
      <alignment horizontal="center" vertical="center"/>
    </xf>
    <xf numFmtId="10" fontId="13" fillId="0" borderId="1" xfId="2" applyNumberFormat="1" applyFont="1" applyBorder="1" applyAlignment="1">
      <alignment horizontal="center" vertical="center"/>
    </xf>
    <xf numFmtId="0" fontId="28" fillId="12" borderId="4" xfId="0" applyFont="1" applyFill="1" applyBorder="1" applyAlignment="1">
      <alignment horizontal="left" vertical="center" indent="1"/>
    </xf>
    <xf numFmtId="0" fontId="28" fillId="12" borderId="27" xfId="0" applyFont="1" applyFill="1" applyBorder="1" applyAlignment="1">
      <alignment horizontal="left" vertical="center" indent="1"/>
    </xf>
    <xf numFmtId="0" fontId="28" fillId="12" borderId="5" xfId="0" applyFont="1" applyFill="1" applyBorder="1" applyAlignment="1">
      <alignment horizontal="left" vertical="center" indent="1"/>
    </xf>
    <xf numFmtId="0" fontId="1" fillId="0" borderId="0" xfId="0" applyFont="1" applyAlignment="1">
      <alignment horizontal="center"/>
    </xf>
    <xf numFmtId="0" fontId="6" fillId="12" borderId="7" xfId="0" applyFont="1" applyFill="1" applyBorder="1" applyAlignment="1">
      <alignment horizontal="left"/>
    </xf>
    <xf numFmtId="0" fontId="28" fillId="12" borderId="7" xfId="0" applyFont="1" applyFill="1" applyBorder="1" applyAlignment="1">
      <alignment horizontal="left" vertical="center" indent="1"/>
    </xf>
    <xf numFmtId="0" fontId="28" fillId="12" borderId="8" xfId="0" applyFont="1" applyFill="1" applyBorder="1" applyAlignment="1">
      <alignment horizontal="left" vertical="center" indent="1"/>
    </xf>
    <xf numFmtId="0" fontId="28" fillId="12" borderId="9" xfId="0" applyFont="1" applyFill="1" applyBorder="1" applyAlignment="1">
      <alignment horizontal="left" vertical="center" indent="1"/>
    </xf>
    <xf numFmtId="0" fontId="7" fillId="0" borderId="4" xfId="0" applyFont="1" applyBorder="1" applyAlignment="1">
      <alignment horizontal="left"/>
    </xf>
    <xf numFmtId="0" fontId="7" fillId="0" borderId="27" xfId="0" applyFont="1" applyBorder="1" applyAlignment="1">
      <alignment horizontal="left"/>
    </xf>
    <xf numFmtId="0" fontId="7" fillId="0" borderId="5" xfId="0" applyFont="1" applyBorder="1" applyAlignment="1">
      <alignment horizontal="left"/>
    </xf>
    <xf numFmtId="165" fontId="7" fillId="10" borderId="1" xfId="0" applyNumberFormat="1" applyFont="1" applyFill="1" applyBorder="1" applyAlignment="1">
      <alignment horizontal="center" wrapText="1"/>
    </xf>
    <xf numFmtId="0" fontId="15" fillId="12" borderId="0" xfId="0" applyFont="1" applyFill="1" applyAlignment="1">
      <alignment horizontal="left"/>
    </xf>
    <xf numFmtId="0" fontId="15" fillId="12" borderId="14" xfId="0" applyFont="1" applyFill="1" applyBorder="1" applyAlignment="1">
      <alignment horizontal="left"/>
    </xf>
    <xf numFmtId="0" fontId="7" fillId="0" borderId="26" xfId="0" applyFont="1" applyBorder="1" applyAlignment="1">
      <alignment horizontal="center"/>
    </xf>
    <xf numFmtId="0" fontId="7" fillId="0" borderId="46" xfId="0" applyFont="1" applyBorder="1" applyAlignment="1">
      <alignment horizontal="center"/>
    </xf>
    <xf numFmtId="0" fontId="17" fillId="0" borderId="42" xfId="0" applyFont="1" applyBorder="1" applyAlignment="1">
      <alignment horizontal="left" vertical="center" wrapText="1"/>
    </xf>
    <xf numFmtId="0" fontId="17" fillId="0" borderId="1" xfId="0" applyFont="1" applyBorder="1" applyAlignment="1">
      <alignment horizontal="left" vertical="center" wrapText="1"/>
    </xf>
    <xf numFmtId="0" fontId="17" fillId="0" borderId="43" xfId="0" applyFont="1" applyBorder="1" applyAlignment="1">
      <alignment horizontal="left" vertical="center" wrapText="1"/>
    </xf>
    <xf numFmtId="0" fontId="4" fillId="0" borderId="4" xfId="0" applyFont="1" applyBorder="1" applyAlignment="1">
      <alignment horizontal="left" wrapText="1"/>
    </xf>
    <xf numFmtId="0" fontId="4" fillId="0" borderId="27" xfId="0" applyFont="1" applyBorder="1" applyAlignment="1">
      <alignment horizontal="left" wrapText="1"/>
    </xf>
    <xf numFmtId="0" fontId="4" fillId="0" borderId="5" xfId="0" applyFont="1" applyBorder="1" applyAlignment="1">
      <alignment horizontal="left" wrapText="1"/>
    </xf>
    <xf numFmtId="0" fontId="16" fillId="7" borderId="12" xfId="0" applyFont="1" applyFill="1" applyBorder="1" applyAlignment="1">
      <alignment horizontal="left"/>
    </xf>
    <xf numFmtId="0" fontId="16" fillId="7" borderId="10" xfId="0" applyFont="1" applyFill="1" applyBorder="1" applyAlignment="1">
      <alignment horizontal="left"/>
    </xf>
    <xf numFmtId="0" fontId="16" fillId="7" borderId="60" xfId="0" applyFont="1" applyFill="1" applyBorder="1" applyAlignment="1">
      <alignment horizontal="left"/>
    </xf>
    <xf numFmtId="0" fontId="17" fillId="0" borderId="26" xfId="0" applyFont="1" applyBorder="1" applyAlignment="1">
      <alignment horizontal="left" vertical="center" wrapText="1"/>
    </xf>
    <xf numFmtId="0" fontId="17" fillId="0" borderId="25" xfId="0" applyFont="1" applyBorder="1" applyAlignment="1">
      <alignment horizontal="left" vertical="center" wrapText="1"/>
    </xf>
    <xf numFmtId="0" fontId="17" fillId="0" borderId="46" xfId="0" applyFont="1" applyBorder="1" applyAlignment="1">
      <alignment horizontal="left" vertical="center" wrapText="1"/>
    </xf>
    <xf numFmtId="0" fontId="17" fillId="0" borderId="44" xfId="0" applyFont="1" applyBorder="1" applyAlignment="1">
      <alignment horizontal="left" vertical="center" wrapText="1"/>
    </xf>
    <xf numFmtId="0" fontId="17" fillId="0" borderId="62" xfId="0" applyFont="1" applyBorder="1" applyAlignment="1">
      <alignment horizontal="left" vertical="center" wrapText="1"/>
    </xf>
    <xf numFmtId="0" fontId="17" fillId="0" borderId="45" xfId="0" applyFont="1" applyBorder="1" applyAlignment="1">
      <alignment horizontal="left" vertical="center" wrapText="1"/>
    </xf>
    <xf numFmtId="0" fontId="16" fillId="5" borderId="7" xfId="0" applyFont="1" applyFill="1" applyBorder="1" applyAlignment="1">
      <alignment horizontal="left"/>
    </xf>
    <xf numFmtId="0" fontId="16" fillId="5" borderId="8" xfId="0" applyFont="1" applyFill="1" applyBorder="1" applyAlignment="1">
      <alignment horizontal="left"/>
    </xf>
    <xf numFmtId="0" fontId="16" fillId="5" borderId="59" xfId="0" applyFont="1" applyFill="1" applyBorder="1" applyAlignment="1">
      <alignment horizontal="left"/>
    </xf>
    <xf numFmtId="0" fontId="28" fillId="8" borderId="13" xfId="0" applyFont="1" applyFill="1" applyBorder="1" applyAlignment="1">
      <alignment horizontal="center"/>
    </xf>
    <xf numFmtId="0" fontId="28" fillId="8" borderId="0" xfId="0" applyFont="1" applyFill="1" applyAlignment="1">
      <alignment horizontal="center"/>
    </xf>
    <xf numFmtId="0" fontId="33" fillId="0" borderId="0" xfId="0" applyFont="1" applyAlignment="1">
      <alignment horizontal="left" wrapText="1"/>
    </xf>
    <xf numFmtId="0" fontId="33" fillId="0" borderId="0" xfId="0" applyFont="1" applyAlignment="1">
      <alignment horizontal="left" vertical="center" wrapText="1"/>
    </xf>
    <xf numFmtId="165" fontId="13" fillId="28" borderId="1" xfId="0" applyNumberFormat="1" applyFont="1" applyFill="1" applyBorder="1" applyAlignment="1">
      <alignment horizontal="center" wrapText="1"/>
    </xf>
    <xf numFmtId="187" fontId="15" fillId="9" borderId="25" xfId="0" applyNumberFormat="1" applyFont="1" applyFill="1" applyBorder="1" applyAlignment="1">
      <alignment horizontal="center"/>
    </xf>
    <xf numFmtId="187" fontId="16" fillId="34" borderId="25" xfId="0" applyNumberFormat="1" applyFont="1" applyFill="1" applyBorder="1" applyAlignment="1">
      <alignment horizontal="center"/>
    </xf>
    <xf numFmtId="187" fontId="16" fillId="5" borderId="23" xfId="0" applyNumberFormat="1" applyFont="1" applyFill="1" applyBorder="1" applyAlignment="1">
      <alignment horizontal="center"/>
    </xf>
    <xf numFmtId="187" fontId="15" fillId="9" borderId="23" xfId="0" applyNumberFormat="1" applyFont="1" applyFill="1" applyBorder="1" applyAlignment="1">
      <alignment horizontal="center"/>
    </xf>
    <xf numFmtId="165" fontId="7" fillId="28" borderId="3" xfId="0" applyNumberFormat="1" applyFont="1" applyFill="1" applyBorder="1" applyAlignment="1">
      <alignment horizontal="center" wrapText="1"/>
    </xf>
    <xf numFmtId="187" fontId="22" fillId="0" borderId="1" xfId="0" applyNumberFormat="1" applyFont="1" applyFill="1" applyBorder="1" applyAlignment="1">
      <alignment horizontal="center"/>
    </xf>
    <xf numFmtId="0" fontId="0" fillId="0" borderId="0" xfId="0" applyFill="1"/>
    <xf numFmtId="165" fontId="7" fillId="0" borderId="0" xfId="0" applyNumberFormat="1" applyFont="1" applyFill="1" applyBorder="1" applyAlignment="1">
      <alignment horizontal="center" wrapText="1"/>
    </xf>
    <xf numFmtId="0" fontId="0" fillId="0" borderId="0" xfId="0" applyFill="1" applyBorder="1"/>
    <xf numFmtId="165" fontId="13" fillId="0" borderId="0" xfId="0" applyNumberFormat="1" applyFont="1" applyFill="1" applyBorder="1" applyAlignment="1">
      <alignment horizontal="center" wrapText="1"/>
    </xf>
    <xf numFmtId="187" fontId="0" fillId="28" borderId="0" xfId="0" applyNumberFormat="1" applyFill="1" applyAlignment="1">
      <alignment horizontal="center"/>
    </xf>
    <xf numFmtId="0" fontId="8" fillId="28" borderId="0" xfId="0" applyFont="1" applyFill="1"/>
    <xf numFmtId="0" fontId="28" fillId="12" borderId="0" xfId="0" applyFont="1" applyFill="1" applyBorder="1" applyAlignment="1">
      <alignment vertical="center"/>
    </xf>
    <xf numFmtId="187" fontId="8" fillId="2" borderId="1" xfId="0" applyNumberFormat="1" applyFont="1" applyFill="1" applyBorder="1" applyAlignment="1" applyProtection="1">
      <alignment horizontal="center" vertical="center" wrapText="1"/>
      <protection locked="0"/>
    </xf>
    <xf numFmtId="187" fontId="8" fillId="28" borderId="1" xfId="0" applyNumberFormat="1" applyFont="1" applyFill="1" applyBorder="1" applyAlignment="1" applyProtection="1">
      <alignment horizontal="center" vertical="center" wrapText="1"/>
      <protection locked="0"/>
    </xf>
    <xf numFmtId="9" fontId="19" fillId="28" borderId="1" xfId="2" applyFont="1" applyFill="1" applyBorder="1" applyAlignment="1">
      <alignment horizontal="center"/>
    </xf>
    <xf numFmtId="3" fontId="3" fillId="28" borderId="1" xfId="1" applyNumberFormat="1" applyFont="1" applyFill="1" applyBorder="1" applyAlignment="1" applyProtection="1">
      <alignment horizontal="center" vertical="center"/>
    </xf>
    <xf numFmtId="0" fontId="16" fillId="28" borderId="0" xfId="0" applyFont="1" applyFill="1" applyAlignment="1">
      <alignment horizontal="right"/>
    </xf>
    <xf numFmtId="165" fontId="8" fillId="28" borderId="1" xfId="0" applyNumberFormat="1" applyFont="1" applyFill="1" applyBorder="1" applyAlignment="1">
      <alignment horizontal="center" wrapText="1"/>
    </xf>
    <xf numFmtId="0" fontId="8" fillId="28" borderId="1" xfId="0" applyFont="1" applyFill="1" applyBorder="1" applyAlignment="1" applyProtection="1">
      <alignment horizontal="center" vertical="center" wrapText="1"/>
      <protection locked="0"/>
    </xf>
    <xf numFmtId="0" fontId="7" fillId="0" borderId="0" xfId="0" applyFont="1" applyFill="1"/>
    <xf numFmtId="0" fontId="33" fillId="0" borderId="0" xfId="0" applyFont="1" applyFill="1" applyAlignment="1">
      <alignment horizontal="center"/>
    </xf>
    <xf numFmtId="165" fontId="13" fillId="10" borderId="43" xfId="0" applyNumberFormat="1" applyFont="1" applyFill="1" applyBorder="1" applyAlignment="1">
      <alignment horizontal="center"/>
    </xf>
    <xf numFmtId="165" fontId="13" fillId="10" borderId="1" xfId="0" applyNumberFormat="1" applyFont="1" applyFill="1" applyBorder="1" applyAlignment="1">
      <alignment horizontal="center" wrapText="1"/>
    </xf>
    <xf numFmtId="6" fontId="13" fillId="10" borderId="43" xfId="0" applyNumberFormat="1" applyFont="1" applyFill="1" applyBorder="1" applyAlignment="1">
      <alignment horizontal="center"/>
    </xf>
    <xf numFmtId="165" fontId="13" fillId="10" borderId="43" xfId="0" applyNumberFormat="1" applyFont="1" applyFill="1" applyBorder="1" applyAlignment="1">
      <alignment horizontal="center" wrapText="1"/>
    </xf>
    <xf numFmtId="0" fontId="96" fillId="0" borderId="0" xfId="0" applyFont="1" applyFill="1"/>
    <xf numFmtId="0" fontId="3" fillId="0" borderId="0" xfId="0" applyFont="1" applyFill="1"/>
    <xf numFmtId="165" fontId="7" fillId="28" borderId="1" xfId="0" applyNumberFormat="1" applyFont="1" applyFill="1" applyBorder="1" applyAlignment="1">
      <alignment horizontal="center"/>
    </xf>
    <xf numFmtId="165" fontId="7" fillId="28" borderId="42" xfId="0" applyNumberFormat="1" applyFont="1" applyFill="1" applyBorder="1" applyAlignment="1">
      <alignment horizontal="center" wrapText="1"/>
    </xf>
    <xf numFmtId="165" fontId="7" fillId="28" borderId="43" xfId="0" applyNumberFormat="1" applyFont="1" applyFill="1" applyBorder="1" applyAlignment="1">
      <alignment horizontal="center"/>
    </xf>
    <xf numFmtId="165" fontId="7" fillId="0" borderId="0" xfId="0" applyNumberFormat="1" applyFont="1" applyFill="1" applyBorder="1" applyAlignment="1">
      <alignment horizontal="center"/>
    </xf>
    <xf numFmtId="3" fontId="7" fillId="28" borderId="15" xfId="0" applyNumberFormat="1" applyFont="1" applyFill="1" applyBorder="1" applyAlignment="1">
      <alignment horizontal="center" vertical="center"/>
    </xf>
    <xf numFmtId="1" fontId="7" fillId="28" borderId="1" xfId="0" applyNumberFormat="1" applyFont="1" applyFill="1" applyBorder="1" applyAlignment="1" applyProtection="1">
      <alignment horizontal="center" vertical="center"/>
      <protection locked="0"/>
    </xf>
    <xf numFmtId="165" fontId="19" fillId="28" borderId="1" xfId="0" applyNumberFormat="1" applyFont="1" applyFill="1" applyBorder="1" applyAlignment="1">
      <alignment horizontal="center"/>
    </xf>
    <xf numFmtId="165" fontId="0" fillId="28" borderId="17" xfId="0" applyNumberFormat="1" applyFill="1" applyBorder="1" applyAlignment="1">
      <alignment horizontal="center"/>
    </xf>
    <xf numFmtId="167" fontId="7" fillId="28" borderId="1" xfId="0" applyNumberFormat="1" applyFont="1" applyFill="1" applyBorder="1" applyAlignment="1" applyProtection="1">
      <alignment horizontal="center" vertical="center"/>
      <protection locked="0"/>
    </xf>
    <xf numFmtId="0" fontId="41" fillId="28" borderId="1" xfId="0" applyFont="1" applyFill="1" applyBorder="1"/>
    <xf numFmtId="169" fontId="14" fillId="0" borderId="0" xfId="0" applyNumberFormat="1" applyFont="1"/>
    <xf numFmtId="166" fontId="7" fillId="25" borderId="15" xfId="2" applyNumberFormat="1" applyFont="1" applyFill="1" applyBorder="1" applyAlignment="1" applyProtection="1">
      <alignment horizontal="center" vertical="center"/>
      <protection locked="0"/>
    </xf>
    <xf numFmtId="0" fontId="0" fillId="0" borderId="0" xfId="0" applyFill="1" applyAlignment="1">
      <alignment horizontal="center"/>
    </xf>
  </cellXfs>
  <cellStyles count="9">
    <cellStyle name="Comma" xfId="8" builtinId="3"/>
    <cellStyle name="Currency" xfId="1" builtinId="4"/>
    <cellStyle name="Currency 4" xfId="6" xr:uid="{CC9B6FA2-0B27-42E1-90F5-316825A0F237}"/>
    <cellStyle name="Hyperlink" xfId="3" builtinId="8"/>
    <cellStyle name="Normal" xfId="0" builtinId="0"/>
    <cellStyle name="Normal 3" xfId="7" xr:uid="{B3892033-3ADA-4675-AE86-0BAD9A5D11B5}"/>
    <cellStyle name="Normal 4" xfId="5" xr:uid="{6AF97AD8-4063-4946-AA9C-931A50D258A3}"/>
    <cellStyle name="Normal 6" xfId="4" xr:uid="{B9EA7690-EB8E-4B63-8348-F45760B0DD35}"/>
    <cellStyle name="Percent" xfId="2" builtinId="5"/>
  </cellStyles>
  <dxfs count="21">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rgb="FFCDFFFF"/>
          <bgColor rgb="FFCCFFFF"/>
        </patternFill>
      </fill>
    </dxf>
    <dxf>
      <fill>
        <patternFill>
          <bgColor rgb="FFCCFFFF"/>
        </patternFill>
      </fill>
    </dxf>
    <dxf>
      <font>
        <color theme="1"/>
      </font>
      <fill>
        <patternFill patternType="solid">
          <fgColor rgb="FFCDFFFF"/>
          <bgColor rgb="FFCCFFFF"/>
        </patternFill>
      </fill>
    </dxf>
    <dxf>
      <fill>
        <patternFill>
          <bgColor rgb="FFFFFFCC"/>
        </patternFill>
      </fill>
    </dxf>
    <dxf>
      <font>
        <color theme="1"/>
      </font>
      <fill>
        <patternFill patternType="solid">
          <fgColor rgb="FFCDFFFF"/>
          <bgColor rgb="FFCCFFFF"/>
        </patternFill>
      </fill>
    </dxf>
    <dxf>
      <fill>
        <patternFill>
          <bgColor rgb="FFFFFFCC"/>
        </patternFill>
      </fill>
    </dxf>
    <dxf>
      <fill>
        <patternFill>
          <bgColor rgb="FFFFFFCC"/>
        </patternFill>
      </fill>
    </dxf>
  </dxfs>
  <tableStyles count="0" defaultTableStyle="TableStyleMedium2" defaultPivotStyle="PivotStyleLight16"/>
  <colors>
    <mruColors>
      <color rgb="FFFF66FF"/>
      <color rgb="FFFFFFCC"/>
      <color rgb="FFCCCCFF"/>
      <color rgb="FFFFFF99"/>
      <color rgb="FF973B00"/>
      <color rgb="FFC4F9FF"/>
      <color rgb="FF7F35B2"/>
      <color rgb="FF0091A0"/>
      <color rgb="FF00C1D5"/>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1883833" cy="309669"/>
    <xdr:pic>
      <xdr:nvPicPr>
        <xdr:cNvPr id="3" name="Picture 2" descr="Image result for vmware logo">
          <a:extLst>
            <a:ext uri="{FF2B5EF4-FFF2-40B4-BE49-F238E27FC236}">
              <a16:creationId xmlns:a16="http://schemas.microsoft.com/office/drawing/2014/main" id="{6690C50E-3D7D-44F6-837E-C4635C8D6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419100"/>
          <a:ext cx="1883833" cy="3096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428625</xdr:colOff>
      <xdr:row>5</xdr:row>
      <xdr:rowOff>388938</xdr:rowOff>
    </xdr:from>
    <xdr:to>
      <xdr:col>2</xdr:col>
      <xdr:colOff>2246312</xdr:colOff>
      <xdr:row>5</xdr:row>
      <xdr:rowOff>666750</xdr:rowOff>
    </xdr:to>
    <xdr:sp macro="" textlink="">
      <xdr:nvSpPr>
        <xdr:cNvPr id="2" name="Arrow: Right 1">
          <a:extLst>
            <a:ext uri="{FF2B5EF4-FFF2-40B4-BE49-F238E27FC236}">
              <a16:creationId xmlns:a16="http://schemas.microsoft.com/office/drawing/2014/main" id="{A22B1F89-F7B6-4D7D-A0D0-0D5E906E1189}"/>
            </a:ext>
          </a:extLst>
        </xdr:cNvPr>
        <xdr:cNvSpPr/>
      </xdr:nvSpPr>
      <xdr:spPr>
        <a:xfrm>
          <a:off x="3771900" y="2446338"/>
          <a:ext cx="1817687" cy="2778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Drew Wright" id="{A2432F15-860E-4864-99EF-F416B1F5B516}" userId="S::wdrew@vmware.com::520acd2b-a199-4e9c-a483-511eb3190865" providerId="AD"/>
  <person displayName="Drew Wright" id="{F5E8E4A6-F93A-4059-917E-BE7CC44A724E}" userId="S::drew.wright@broadcom.com::029039f7-3aa9-4b3f-aaa1-11b39faf3bc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 dT="2025-03-20T17:52:38.35" personId="{F5E8E4A6-F93A-4059-917E-BE7CC44A724E}" id="{6345AF59-2DFA-402D-84D8-3B62BA4EEB4C}">
    <text>This is best used to highlight SnS that is going away with a subscription renewal or a vSphere subscription that is being converted to a VCF subscription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I106" dT="2023-05-05T22:33:30.74" personId="{A2432F15-860E-4864-99EF-F416B1F5B516}" id="{748E2844-CB79-4690-9BBE-C39E2DE1E6C0}">
    <text>Note to developers - can you include this as a clickable hyperlink to "Coveware" in the sourcing and comments field?</text>
  </threadedComment>
</ThreadedComments>
</file>

<file path=xl/threadedComments/threadedComment3.xml><?xml version="1.0" encoding="utf-8"?>
<ThreadedComments xmlns="http://schemas.microsoft.com/office/spreadsheetml/2018/threadedcomments" xmlns:x="http://schemas.openxmlformats.org/spreadsheetml/2006/main">
  <threadedComment ref="J7" dT="2025-05-19T17:16:02.12" personId="{F5E8E4A6-F93A-4059-917E-BE7CC44A724E}" id="{31599C82-D7EB-4BAA-BC8E-910F0AA79398}">
    <text xml:space="preserve">Input “WACC + company name + gurufocus” into your preferred search engine. This will pull the current WACC for your company if they are publicly held from the gurufocus.com website, as this is calculated based on public company 10K filings. Otherwise, WACC can be estimated for private  companies or companies that don't file 10-Ks by modeling via a similar sized and similar industry peer.
</text>
  </threadedComment>
  <threadedComment ref="J8" dT="2025-05-19T17:17:01.98" personId="{F5E8E4A6-F93A-4059-917E-BE7CC44A724E}" id="{363262EF-4794-40B3-AEEA-E1ADBE5E5CD8}">
    <text>Please note that growth is applied in the results screens and not in the benefit objects in the benefits calculations screen.</text>
  </threadedComment>
  <threadedComment ref="J9" dT="2025-05-19T17:23:24.66" personId="{F5E8E4A6-F93A-4059-917E-BE7CC44A724E}" id="{B6DDE279-4F18-4E90-9C1E-BA187A99A859}">
    <text>Based on 10 year average from 2014-2023 per https://www.macrotrends.net/global-metrics/countries/WLD/world/inflation-rate-cpi</text>
    <extLst>
      <x:ext xmlns:xltc2="http://schemas.microsoft.com/office/spreadsheetml/2020/threadedcomments2" uri="{F7C98A9C-CBB3-438F-8F68-D28B6AF4A901}">
        <xltc2:checksum>694002563</xltc2:checksum>
        <xltc2:hyperlink startIndex="44" length="81" url="https://www.macrotrends.net/global-metrics/countries/WLD/world/inflation-rate-cpi"/>
      </x:ext>
    </extLst>
  </threadedComment>
  <threadedComment ref="G34" dT="2025-04-29T22:32:16.13" personId="{F5E8E4A6-F93A-4059-917E-BE7CC44A724E}" id="{AB3817F9-5D55-429B-9669-C3C532F2685C}">
    <text>Estimated VCF discount % feeds a necessary value into the Competitive TCO Comparison model. This value should align with the investment dollars entered in the Estimated Investment &gt; Subscription fields that follow.</text>
  </threadedComment>
  <threadedComment ref="A37" dT="2025-05-05T22:15:24.13" personId="{F5E8E4A6-F93A-4059-917E-BE7CC44A724E}" id="{1C979616-D7C1-4340-A29B-BF7016A602BE}">
    <text>Use this input row to input the total subscription across all VMware by Broadcom products, including advanced services (e.g., Avi, vDefend, etc.) and estimated growth.</text>
  </threadedComment>
  <threadedComment ref="A59" dT="2025-03-20T03:59:47.01" personId="{F5E8E4A6-F93A-4059-917E-BE7CC44A724E}" id="{C30C341B-EDCF-4D74-ADFD-060897395C1D}">
    <text>Migration only applied to cost take out of competitive data services manager or custom software takeout benefit when applicable</text>
  </threadedComment>
  <threadedComment ref="A62" dT="2025-03-20T03:59:47.01" personId="{F5E8E4A6-F93A-4059-917E-BE7CC44A724E}" id="{CC1EAD2D-CA08-4E40-8725-977BF540173D}">
    <text>Support level changes with execution of new contract</text>
  </threadedComment>
  <threadedComment ref="A65" dT="2025-03-20T03:59:47.01" personId="{F5E8E4A6-F93A-4059-917E-BE7CC44A724E}" id="{9818FD13-2537-4432-8E5F-FFB023E68D3E}">
    <text>Future state OpEx impact is annual</text>
  </threadedComment>
  <threadedComment ref="A66" dT="2025-03-20T03:59:47.01" personId="{F5E8E4A6-F93A-4059-917E-BE7CC44A724E}" id="{B725516F-05C6-439C-8041-0F1B08EFE821}">
    <text>Future state OpEx impact is annual</text>
  </threadedComment>
  <threadedComment ref="C83" dT="2025-03-20T16:03:33.29" personId="{F5E8E4A6-F93A-4059-917E-BE7CC44A724E}" id="{B2573894-9DF7-4B8B-A9F9-002247EE3312}">
    <text>All values based on analysis term (3 or 5 years) except Revenue Impact and Risk Reduction.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A20" dT="2022-09-29T21:32:36.81" personId="{A2432F15-860E-4864-99EF-F416B1F5B516}" id="{C14ACCA3-0A5E-417E-B11C-136E3DF445D4}">
    <text>The weighted average carbon sequestered by a medium growth coniferous or deciduous tree, planted in an urban setting and allowed to grow for 10 years, is 36.4 lbs of carbon per tree.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lobalpetrolprices.com/electricity_pric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ybelangel.com/the-true-cost-of-a-ransomware-attack/" TargetMode="External"/><Relationship Id="rId1" Type="http://schemas.openxmlformats.org/officeDocument/2006/relationships/hyperlink" Target="https://www.coveware.com/blog/2022/7/27/fewer-ransomware-victims-pay-as-medium-ransom-falls-in-q2-2022"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epa.gov/energy/greenhouse-gases-equivalencies-calculator-calculations-and-references" TargetMode="External"/><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bl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B600-78EB-4A8A-9B69-16BB618ADFC0}">
  <sheetPr codeName="Sheet2"/>
  <dimension ref="A2:R30"/>
  <sheetViews>
    <sheetView showGridLines="0" topLeftCell="A19" zoomScale="70" zoomScaleNormal="70" workbookViewId="0">
      <selection activeCell="C33" sqref="C33"/>
    </sheetView>
  </sheetViews>
  <sheetFormatPr defaultColWidth="9.21875" defaultRowHeight="16.2" customHeight="1" x14ac:dyDescent="0.3"/>
  <cols>
    <col min="1" max="1" width="9.44140625" style="94" customWidth="1"/>
    <col min="2" max="2" width="71.21875" style="94" customWidth="1"/>
    <col min="3" max="3" width="30.77734375" style="94" bestFit="1" customWidth="1"/>
    <col min="4" max="4" width="28.5546875" style="94" customWidth="1"/>
    <col min="5" max="5" width="67.21875" style="94" customWidth="1"/>
    <col min="6" max="6" width="19.77734375" style="94" customWidth="1"/>
    <col min="7" max="7" width="44.77734375" style="94" customWidth="1"/>
    <col min="8" max="8" width="12.77734375" style="94" bestFit="1" customWidth="1"/>
    <col min="9" max="16384" width="9.21875" style="94"/>
  </cols>
  <sheetData>
    <row r="2" spans="1:15" ht="16.2" customHeight="1" x14ac:dyDescent="0.3">
      <c r="B2" s="23" t="s">
        <v>181</v>
      </c>
      <c r="E2" s="705" t="s">
        <v>500</v>
      </c>
      <c r="G2" s="276" t="s">
        <v>232</v>
      </c>
    </row>
    <row r="3" spans="1:15" ht="16.2" customHeight="1" x14ac:dyDescent="0.3">
      <c r="B3" s="193" t="s">
        <v>262</v>
      </c>
      <c r="G3" s="277" t="s">
        <v>206</v>
      </c>
      <c r="H3" s="196"/>
      <c r="I3" s="95" t="s">
        <v>209</v>
      </c>
    </row>
    <row r="4" spans="1:15" ht="16.2" customHeight="1" thickBot="1" x14ac:dyDescent="0.35">
      <c r="G4" s="277" t="s">
        <v>208</v>
      </c>
      <c r="H4" s="198"/>
      <c r="I4" s="95" t="s">
        <v>210</v>
      </c>
    </row>
    <row r="5" spans="1:15" ht="16.2" customHeight="1" thickBot="1" x14ac:dyDescent="0.35">
      <c r="B5" s="873" t="s">
        <v>263</v>
      </c>
      <c r="C5" s="874"/>
      <c r="G5" s="277" t="s">
        <v>207</v>
      </c>
      <c r="H5" s="199"/>
      <c r="I5" s="95" t="s">
        <v>211</v>
      </c>
    </row>
    <row r="6" spans="1:15" ht="16.2" customHeight="1" x14ac:dyDescent="0.3">
      <c r="G6" s="277" t="s">
        <v>8</v>
      </c>
      <c r="H6" s="200"/>
      <c r="I6" s="95" t="s">
        <v>211</v>
      </c>
    </row>
    <row r="7" spans="1:15" ht="16.2" customHeight="1" x14ac:dyDescent="0.3">
      <c r="B7" s="94" t="s">
        <v>258</v>
      </c>
      <c r="C7" s="565" t="s">
        <v>483</v>
      </c>
      <c r="D7" s="105"/>
      <c r="G7" s="277" t="s">
        <v>219</v>
      </c>
      <c r="H7" s="201"/>
      <c r="I7" s="95" t="s">
        <v>220</v>
      </c>
    </row>
    <row r="8" spans="1:15" ht="16.2" customHeight="1" x14ac:dyDescent="0.3">
      <c r="B8" s="94" t="s">
        <v>259</v>
      </c>
      <c r="C8" s="564" t="s">
        <v>438</v>
      </c>
      <c r="D8" s="105" t="s">
        <v>605</v>
      </c>
      <c r="G8" s="279" t="s">
        <v>264</v>
      </c>
      <c r="H8" s="105" t="s">
        <v>265</v>
      </c>
    </row>
    <row r="9" spans="1:15" ht="16.2" customHeight="1" x14ac:dyDescent="0.3">
      <c r="B9" s="94" t="s">
        <v>260</v>
      </c>
      <c r="C9" s="564" t="s">
        <v>455</v>
      </c>
      <c r="D9" s="105" t="s">
        <v>605</v>
      </c>
      <c r="G9" s="279"/>
    </row>
    <row r="10" spans="1:15" ht="16.2" customHeight="1" thickBot="1" x14ac:dyDescent="0.35">
      <c r="G10" s="279"/>
    </row>
    <row r="11" spans="1:15" s="95" customFormat="1" ht="16.2" customHeight="1" thickBot="1" x14ac:dyDescent="0.35">
      <c r="A11" s="194"/>
      <c r="B11" s="873" t="s">
        <v>499</v>
      </c>
      <c r="C11" s="874"/>
      <c r="D11" s="195" t="s">
        <v>501</v>
      </c>
      <c r="E11" s="195"/>
      <c r="G11" s="279"/>
      <c r="O11" s="197"/>
    </row>
    <row r="12" spans="1:15" s="95" customFormat="1" ht="16.2" customHeight="1" x14ac:dyDescent="0.3">
      <c r="A12" s="194"/>
      <c r="C12" s="96"/>
      <c r="D12" s="195"/>
      <c r="E12" s="195"/>
      <c r="G12" s="279"/>
      <c r="N12" s="279"/>
    </row>
    <row r="13" spans="1:15" s="95" customFormat="1" ht="16.2" customHeight="1" x14ac:dyDescent="0.3">
      <c r="A13" s="708"/>
      <c r="B13" s="95" t="s">
        <v>592</v>
      </c>
      <c r="C13" s="239" t="s">
        <v>826</v>
      </c>
      <c r="D13" s="762"/>
      <c r="E13" s="195"/>
      <c r="G13" s="279"/>
      <c r="N13" s="105"/>
    </row>
    <row r="14" spans="1:15" s="95" customFormat="1" ht="16.2" customHeight="1" x14ac:dyDescent="0.3">
      <c r="A14" s="194"/>
      <c r="B14" s="707" t="s">
        <v>841</v>
      </c>
      <c r="C14" s="239">
        <v>10</v>
      </c>
      <c r="D14" s="195"/>
      <c r="G14" s="279"/>
      <c r="H14" s="203"/>
    </row>
    <row r="15" spans="1:15" s="95" customFormat="1" ht="16.2" customHeight="1" x14ac:dyDescent="0.3">
      <c r="A15" s="194"/>
      <c r="G15" s="277"/>
    </row>
    <row r="16" spans="1:15" s="95" customFormat="1" ht="16.2" customHeight="1" x14ac:dyDescent="0.3">
      <c r="A16" s="708"/>
      <c r="B16" s="281" t="s">
        <v>5</v>
      </c>
      <c r="C16" s="701">
        <v>5000</v>
      </c>
      <c r="G16" s="278"/>
    </row>
    <row r="17" spans="1:18" s="95" customFormat="1" ht="16.2" customHeight="1" x14ac:dyDescent="0.3">
      <c r="A17" s="708"/>
      <c r="B17" s="281" t="s">
        <v>42</v>
      </c>
      <c r="C17" s="701">
        <v>400</v>
      </c>
      <c r="G17" s="278"/>
      <c r="H17" s="203"/>
    </row>
    <row r="18" spans="1:18" s="95" customFormat="1" ht="16.2" customHeight="1" x14ac:dyDescent="0.3">
      <c r="A18" s="708"/>
      <c r="B18" s="281" t="s">
        <v>44</v>
      </c>
      <c r="C18" s="701">
        <v>300</v>
      </c>
      <c r="G18" s="278"/>
      <c r="H18" s="195" t="s">
        <v>459</v>
      </c>
    </row>
    <row r="19" spans="1:18" s="195" customFormat="1" ht="16.2" customHeight="1" x14ac:dyDescent="0.3">
      <c r="A19" s="194"/>
      <c r="E19" s="95"/>
      <c r="F19" s="95"/>
      <c r="G19" s="278" t="s">
        <v>460</v>
      </c>
      <c r="H19" s="203"/>
      <c r="I19" s="95"/>
      <c r="J19" s="95"/>
      <c r="K19" s="95"/>
      <c r="L19" s="95"/>
      <c r="M19" s="95"/>
      <c r="N19" s="95"/>
      <c r="O19" s="95"/>
      <c r="P19" s="95"/>
      <c r="Q19" s="95"/>
      <c r="R19" s="95"/>
    </row>
    <row r="20" spans="1:18" s="95" customFormat="1" ht="16.2" customHeight="1" x14ac:dyDescent="0.3">
      <c r="A20" s="194"/>
      <c r="B20" s="95" t="s">
        <v>752</v>
      </c>
      <c r="C20" s="206" t="s">
        <v>12</v>
      </c>
      <c r="D20" s="206" t="s">
        <v>13</v>
      </c>
      <c r="F20" s="202"/>
      <c r="G20" s="277"/>
      <c r="O20" s="197"/>
    </row>
    <row r="21" spans="1:18" s="95" customFormat="1" ht="16.2" customHeight="1" x14ac:dyDescent="0.3">
      <c r="A21" s="194"/>
      <c r="B21" s="711" t="s">
        <v>753</v>
      </c>
      <c r="C21" s="491">
        <v>0</v>
      </c>
      <c r="D21" s="351">
        <v>1</v>
      </c>
      <c r="E21" s="708"/>
      <c r="F21" s="202"/>
      <c r="G21" s="277"/>
      <c r="O21" s="197"/>
    </row>
    <row r="22" spans="1:18" s="95" customFormat="1" ht="16.2" customHeight="1" x14ac:dyDescent="0.3">
      <c r="A22" s="763" t="str">
        <f>IF(ISNUMBER(SEARCH("VCF",$C$13)),"Show","Hide")</f>
        <v>Show</v>
      </c>
      <c r="B22" s="712" t="s">
        <v>754</v>
      </c>
      <c r="C22" s="491">
        <v>0</v>
      </c>
      <c r="D22" s="351">
        <f>IF(A22="Show",100%,0)</f>
        <v>1</v>
      </c>
      <c r="E22" s="708"/>
      <c r="F22" s="202"/>
      <c r="G22" s="277"/>
      <c r="O22" s="197"/>
    </row>
    <row r="23" spans="1:18" s="95" customFormat="1" ht="16.2" customHeight="1" x14ac:dyDescent="0.3">
      <c r="A23" s="763" t="str">
        <f>$A$22</f>
        <v>Show</v>
      </c>
      <c r="B23" s="709" t="s">
        <v>267</v>
      </c>
      <c r="C23" s="491">
        <v>0</v>
      </c>
      <c r="D23" s="351">
        <v>1</v>
      </c>
      <c r="F23" s="202"/>
      <c r="G23" s="277"/>
      <c r="O23" s="197"/>
    </row>
    <row r="24" spans="1:18" s="95" customFormat="1" ht="16.2" customHeight="1" x14ac:dyDescent="0.3">
      <c r="A24" s="708" t="str">
        <f>IF($C$13="VVF","Hide","Show")</f>
        <v>Show</v>
      </c>
      <c r="B24" s="710" t="s">
        <v>268</v>
      </c>
      <c r="C24" s="491">
        <v>0</v>
      </c>
      <c r="D24" s="351">
        <v>1</v>
      </c>
      <c r="F24" s="202"/>
      <c r="G24" s="277"/>
      <c r="O24" s="197"/>
    </row>
    <row r="25" spans="1:18" s="95" customFormat="1" ht="16.2" customHeight="1" x14ac:dyDescent="0.3">
      <c r="F25" s="202"/>
      <c r="G25" s="277"/>
      <c r="O25" s="197"/>
    </row>
    <row r="26" spans="1:18" s="95" customFormat="1" ht="16.2" customHeight="1" x14ac:dyDescent="0.3">
      <c r="A26" s="708"/>
      <c r="B26" s="58" t="s">
        <v>712</v>
      </c>
      <c r="C26" s="255" t="s">
        <v>502</v>
      </c>
      <c r="D26" s="239" t="s">
        <v>463</v>
      </c>
      <c r="F26" s="202"/>
      <c r="G26" s="277"/>
      <c r="O26" s="197"/>
    </row>
    <row r="27" spans="1:18" s="95" customFormat="1" ht="16.2" customHeight="1" x14ac:dyDescent="0.3">
      <c r="A27" s="763" t="str">
        <f>$A$22</f>
        <v>Show</v>
      </c>
      <c r="C27" s="255" t="s">
        <v>711</v>
      </c>
      <c r="D27" s="239" t="s">
        <v>463</v>
      </c>
      <c r="E27" s="206"/>
      <c r="G27" s="277"/>
      <c r="O27" s="197"/>
    </row>
    <row r="28" spans="1:18" s="95" customFormat="1" ht="16.2" customHeight="1" x14ac:dyDescent="0.3">
      <c r="C28" s="255" t="s">
        <v>561</v>
      </c>
      <c r="D28" s="239" t="s">
        <v>463</v>
      </c>
      <c r="E28" s="461" t="str">
        <f>IF(D28="Yes","","Must include DSM for any Public Native Cloud comparison")</f>
        <v>Must include DSM for any Public Native Cloud comparison</v>
      </c>
      <c r="G28" s="277"/>
      <c r="O28" s="197"/>
    </row>
    <row r="29" spans="1:18" s="95" customFormat="1" ht="16.2" customHeight="1" x14ac:dyDescent="0.3">
      <c r="A29" s="708"/>
      <c r="C29" s="255" t="s">
        <v>560</v>
      </c>
      <c r="D29" s="239" t="s">
        <v>463</v>
      </c>
      <c r="E29" s="206"/>
      <c r="G29" s="277"/>
      <c r="O29" s="197"/>
    </row>
    <row r="30" spans="1:18" s="95" customFormat="1" ht="16.2" customHeight="1" x14ac:dyDescent="0.3">
      <c r="F30" s="202"/>
      <c r="G30" s="277"/>
      <c r="O30" s="197"/>
    </row>
  </sheetData>
  <mergeCells count="2">
    <mergeCell ref="B11:C11"/>
    <mergeCell ref="B5:C5"/>
  </mergeCells>
  <phoneticPr fontId="35" type="noConversion"/>
  <conditionalFormatting sqref="C7">
    <cfRule type="expression" dxfId="20" priority="3">
      <formula>#REF!="Brownfield"</formula>
    </cfRule>
  </conditionalFormatting>
  <conditionalFormatting sqref="C16:C18">
    <cfRule type="expression" dxfId="19" priority="1">
      <formula>#REF!="no"</formula>
    </cfRule>
  </conditionalFormatting>
  <dataValidations count="4">
    <dataValidation type="whole" operator="greaterThanOrEqual" allowBlank="1" showInputMessage="1" showErrorMessage="1" sqref="C16:C18" xr:uid="{78C9AE4D-22D7-4106-BDE4-CF1B4DA8FD1F}">
      <formula1>0</formula1>
    </dataValidation>
    <dataValidation type="list" operator="greaterThanOrEqual" allowBlank="1" showInputMessage="1" showErrorMessage="1" sqref="C14" xr:uid="{E6994B74-56D0-4537-9EF7-B3ACCD282090}">
      <formula1>"3,5,7,10"</formula1>
    </dataValidation>
    <dataValidation type="list" operator="greaterThanOrEqual" allowBlank="1" showInputMessage="1" showErrorMessage="1" sqref="D26:D29" xr:uid="{F95ADC63-8653-4E0B-B54E-18FAE35BDAD4}">
      <formula1>"Yes, No"</formula1>
    </dataValidation>
    <dataValidation type="list" operator="greaterThanOrEqual" allowBlank="1" showInputMessage="1" showErrorMessage="1" sqref="C13" xr:uid="{F56B24F8-3E97-46FE-A526-7C3E272E5DFE}">
      <formula1>"VCF 5.x,VCF 9, VVF, VVF with vSAN"</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55DC130-E0C0-4157-8864-42B133934AC3}">
          <x14:formula1>
            <xm:f>Benchmarks!$B$6:$B$9</xm:f>
          </x14:formula1>
          <xm:sqref>C9</xm:sqref>
        </x14:dataValidation>
        <x14:dataValidation type="list" allowBlank="1" showInputMessage="1" showErrorMessage="1" xr:uid="{961E2EDE-45AF-445B-95BA-0B0941FFC7CD}">
          <x14:formula1>
            <xm:f>Benchmarks!$B$19:$B$37</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F417-91F5-4835-B678-720893CDE37D}">
  <sheetPr codeName="Sheet1">
    <tabColor theme="1"/>
  </sheetPr>
  <dimension ref="A2:D28"/>
  <sheetViews>
    <sheetView showGridLines="0" zoomScale="63" zoomScaleNormal="80" workbookViewId="0">
      <selection activeCell="B12" sqref="B12"/>
    </sheetView>
  </sheetViews>
  <sheetFormatPr defaultRowHeight="14.4" x14ac:dyDescent="0.3"/>
  <cols>
    <col min="1" max="1" width="6.21875" customWidth="1"/>
    <col min="2" max="2" width="48.77734375" customWidth="1"/>
    <col min="3" max="3" width="14" customWidth="1"/>
    <col min="4" max="4" width="107.77734375" bestFit="1" customWidth="1"/>
  </cols>
  <sheetData>
    <row r="2" spans="1:4" ht="15.6" x14ac:dyDescent="0.3">
      <c r="B2" s="274" t="s">
        <v>341</v>
      </c>
      <c r="C2" s="94"/>
      <c r="D2" s="94"/>
    </row>
    <row r="3" spans="1:4" ht="15.6" x14ac:dyDescent="0.3">
      <c r="B3" s="275"/>
      <c r="C3" s="94"/>
      <c r="D3" s="94"/>
    </row>
    <row r="4" spans="1:4" ht="15.6" x14ac:dyDescent="0.3">
      <c r="B4" s="276" t="s">
        <v>232</v>
      </c>
      <c r="C4" s="94"/>
      <c r="D4" s="94"/>
    </row>
    <row r="5" spans="1:4" ht="15.6" x14ac:dyDescent="0.3">
      <c r="B5" s="277" t="s">
        <v>206</v>
      </c>
      <c r="C5" s="196"/>
      <c r="D5" s="95" t="s">
        <v>209</v>
      </c>
    </row>
    <row r="6" spans="1:4" ht="15.6" x14ac:dyDescent="0.3">
      <c r="B6" s="277" t="s">
        <v>208</v>
      </c>
      <c r="C6" s="198"/>
      <c r="D6" s="95" t="s">
        <v>210</v>
      </c>
    </row>
    <row r="7" spans="1:4" ht="15.6" x14ac:dyDescent="0.3">
      <c r="B7" s="277" t="s">
        <v>207</v>
      </c>
      <c r="C7" s="199"/>
      <c r="D7" s="95" t="s">
        <v>211</v>
      </c>
    </row>
    <row r="8" spans="1:4" ht="15.6" x14ac:dyDescent="0.3">
      <c r="B8" s="277" t="s">
        <v>8</v>
      </c>
      <c r="C8" s="200"/>
      <c r="D8" s="95" t="s">
        <v>211</v>
      </c>
    </row>
    <row r="9" spans="1:4" ht="15.6" x14ac:dyDescent="0.3">
      <c r="B9" s="279" t="s">
        <v>264</v>
      </c>
      <c r="C9" s="105" t="s">
        <v>265</v>
      </c>
      <c r="D9" s="94"/>
    </row>
    <row r="10" spans="1:4" ht="15.6" x14ac:dyDescent="0.3">
      <c r="B10" s="275"/>
    </row>
    <row r="11" spans="1:4" ht="15.6" x14ac:dyDescent="0.3">
      <c r="B11" s="275"/>
    </row>
    <row r="12" spans="1:4" ht="15.6" x14ac:dyDescent="0.3">
      <c r="B12" s="274" t="s">
        <v>342</v>
      </c>
    </row>
    <row r="13" spans="1:4" ht="15.6" x14ac:dyDescent="0.3">
      <c r="B13" s="275"/>
    </row>
    <row r="14" spans="1:4" ht="15.6" x14ac:dyDescent="0.3">
      <c r="B14" s="276" t="s">
        <v>748</v>
      </c>
    </row>
    <row r="15" spans="1:4" ht="15.6" x14ac:dyDescent="0.3">
      <c r="A15" s="52" t="s">
        <v>559</v>
      </c>
      <c r="B15" s="275" t="s">
        <v>557</v>
      </c>
    </row>
    <row r="16" spans="1:4" ht="15.6" x14ac:dyDescent="0.3">
      <c r="A16" s="52" t="s">
        <v>559</v>
      </c>
      <c r="B16" s="459" t="s">
        <v>590</v>
      </c>
    </row>
    <row r="17" spans="1:2" ht="15.6" x14ac:dyDescent="0.3">
      <c r="A17" s="52" t="s">
        <v>559</v>
      </c>
      <c r="B17" s="275" t="s">
        <v>558</v>
      </c>
    </row>
    <row r="18" spans="1:2" ht="15.6" x14ac:dyDescent="0.3">
      <c r="A18" s="52" t="s">
        <v>559</v>
      </c>
      <c r="B18" s="608" t="s">
        <v>637</v>
      </c>
    </row>
    <row r="19" spans="1:2" ht="15.6" x14ac:dyDescent="0.3">
      <c r="A19" s="52" t="s">
        <v>559</v>
      </c>
      <c r="B19" s="275" t="s">
        <v>638</v>
      </c>
    </row>
    <row r="20" spans="1:2" ht="15.6" x14ac:dyDescent="0.3">
      <c r="A20" s="686" t="s">
        <v>559</v>
      </c>
      <c r="B20" s="459" t="s">
        <v>724</v>
      </c>
    </row>
    <row r="21" spans="1:2" ht="15.6" x14ac:dyDescent="0.3">
      <c r="A21" s="686"/>
      <c r="B21" s="279" t="s">
        <v>749</v>
      </c>
    </row>
    <row r="22" spans="1:2" ht="15.6" x14ac:dyDescent="0.3">
      <c r="B22" s="275"/>
    </row>
    <row r="23" spans="1:2" ht="15.6" x14ac:dyDescent="0.3">
      <c r="B23" s="276" t="s">
        <v>343</v>
      </c>
    </row>
    <row r="24" spans="1:2" ht="15.6" x14ac:dyDescent="0.3">
      <c r="B24" s="275" t="s">
        <v>359</v>
      </c>
    </row>
    <row r="25" spans="1:2" ht="15.6" x14ac:dyDescent="0.3">
      <c r="B25" s="459" t="s">
        <v>360</v>
      </c>
    </row>
    <row r="26" spans="1:2" ht="15.6" x14ac:dyDescent="0.3">
      <c r="B26" s="275"/>
    </row>
    <row r="27" spans="1:2" ht="15.6" x14ac:dyDescent="0.3">
      <c r="B27" s="275"/>
    </row>
    <row r="28" spans="1:2" ht="15.6" x14ac:dyDescent="0.3">
      <c r="B28" s="27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94A6-3878-4124-8E59-B25DCED94205}">
  <sheetPr codeName="Sheet3">
    <tabColor theme="9" tint="0.59999389629810485"/>
  </sheetPr>
  <dimension ref="A1:L57"/>
  <sheetViews>
    <sheetView showGridLines="0" topLeftCell="A45" zoomScale="60" zoomScaleNormal="60" workbookViewId="0">
      <selection activeCell="E30" sqref="E30"/>
    </sheetView>
  </sheetViews>
  <sheetFormatPr defaultColWidth="8.77734375" defaultRowHeight="14.4" x14ac:dyDescent="0.3"/>
  <cols>
    <col min="1" max="1" width="9.21875" style="470" bestFit="1" customWidth="1"/>
    <col min="2" max="7" width="30.77734375" style="133" customWidth="1"/>
    <col min="8" max="8" width="18.44140625" style="133" customWidth="1"/>
    <col min="9" max="9" width="25.5546875" style="472" customWidth="1"/>
    <col min="10" max="10" width="12.77734375" style="472" customWidth="1"/>
    <col min="11" max="11" width="19.44140625" style="133" customWidth="1"/>
    <col min="12" max="12" width="8" style="133" customWidth="1"/>
    <col min="13" max="13" width="15.77734375" style="133" customWidth="1"/>
    <col min="14" max="14" width="8" style="133" customWidth="1"/>
    <col min="15" max="15" width="8" style="133" bestFit="1" customWidth="1"/>
    <col min="16" max="23" width="8" style="133" customWidth="1"/>
    <col min="24" max="16384" width="8.77734375" style="133"/>
  </cols>
  <sheetData>
    <row r="1" spans="2:12" ht="15.6" x14ac:dyDescent="0.3">
      <c r="B1" s="471"/>
      <c r="C1" s="471"/>
      <c r="D1" s="471"/>
      <c r="E1" s="471"/>
      <c r="F1" s="471"/>
      <c r="G1" s="471"/>
    </row>
    <row r="2" spans="2:12" ht="18" x14ac:dyDescent="0.3">
      <c r="B2" s="473" t="s">
        <v>485</v>
      </c>
      <c r="C2" s="473"/>
      <c r="D2" s="473"/>
      <c r="E2" s="473"/>
      <c r="F2" s="473"/>
      <c r="G2" s="473"/>
      <c r="I2" s="512" t="s">
        <v>232</v>
      </c>
      <c r="J2" s="94"/>
      <c r="K2" s="94"/>
      <c r="L2" s="94"/>
    </row>
    <row r="3" spans="2:12" ht="15.6" x14ac:dyDescent="0.3">
      <c r="I3" s="95" t="s">
        <v>208</v>
      </c>
      <c r="J3" s="198"/>
      <c r="K3" s="95" t="s">
        <v>210</v>
      </c>
      <c r="L3" s="94"/>
    </row>
    <row r="4" spans="2:12" ht="15.6" x14ac:dyDescent="0.3">
      <c r="B4" s="474" t="s">
        <v>475</v>
      </c>
      <c r="C4" s="475" t="str">
        <f>'Initial Screens'!C7</f>
        <v>Acme Company</v>
      </c>
      <c r="D4" s="480"/>
      <c r="E4" s="480"/>
      <c r="F4" s="480"/>
      <c r="G4" s="480"/>
      <c r="I4" s="95" t="s">
        <v>207</v>
      </c>
      <c r="J4" s="199"/>
      <c r="K4" s="95" t="s">
        <v>745</v>
      </c>
      <c r="L4" s="94"/>
    </row>
    <row r="5" spans="2:12" ht="15.6" x14ac:dyDescent="0.3">
      <c r="B5" s="474" t="s">
        <v>476</v>
      </c>
      <c r="C5" s="476">
        <f ca="1">NOW()</f>
        <v>45982.798190624999</v>
      </c>
      <c r="D5" s="481"/>
      <c r="E5" s="481"/>
      <c r="F5" s="481"/>
      <c r="G5" s="481"/>
      <c r="H5" s="472" t="s">
        <v>495</v>
      </c>
      <c r="I5" s="95" t="s">
        <v>8</v>
      </c>
      <c r="J5" s="200"/>
      <c r="K5" s="95" t="s">
        <v>744</v>
      </c>
      <c r="L5" s="94"/>
    </row>
    <row r="6" spans="2:12" ht="15.6" x14ac:dyDescent="0.3">
      <c r="B6" s="474" t="s">
        <v>477</v>
      </c>
      <c r="C6" s="477" t="str">
        <f>AnalysisTerm&amp;"-Year Term"</f>
        <v>10-Year Term</v>
      </c>
      <c r="D6" s="482"/>
      <c r="E6" s="482"/>
      <c r="F6" s="482"/>
      <c r="G6" s="482"/>
      <c r="L6" s="94"/>
    </row>
    <row r="7" spans="2:12" ht="15.6" x14ac:dyDescent="0.3">
      <c r="B7" s="474" t="s">
        <v>478</v>
      </c>
      <c r="C7" s="475" t="s">
        <v>484</v>
      </c>
      <c r="D7" s="480"/>
      <c r="E7" s="480"/>
      <c r="F7" s="480"/>
      <c r="G7" s="480"/>
      <c r="L7" s="94"/>
    </row>
    <row r="9" spans="2:12" ht="18" x14ac:dyDescent="0.3">
      <c r="B9" s="473" t="s">
        <v>479</v>
      </c>
      <c r="C9" s="473"/>
      <c r="D9" s="473"/>
      <c r="E9" s="473"/>
      <c r="F9" s="473"/>
      <c r="G9" s="473"/>
    </row>
    <row r="10" spans="2:12" x14ac:dyDescent="0.3">
      <c r="B10" s="478" t="s">
        <v>486</v>
      </c>
      <c r="C10" s="478"/>
      <c r="D10" s="478"/>
      <c r="E10" s="478"/>
      <c r="F10" s="478"/>
      <c r="G10" s="478"/>
    </row>
    <row r="11" spans="2:12" x14ac:dyDescent="0.3">
      <c r="B11" s="876" t="s">
        <v>487</v>
      </c>
      <c r="C11" s="876"/>
      <c r="D11" s="876"/>
      <c r="E11" s="876"/>
      <c r="F11" s="876"/>
      <c r="G11" s="876"/>
    </row>
    <row r="12" spans="2:12" x14ac:dyDescent="0.3">
      <c r="B12" s="478" t="s">
        <v>490</v>
      </c>
      <c r="C12" s="478"/>
      <c r="D12" s="478"/>
      <c r="E12" s="478"/>
      <c r="F12" s="478"/>
      <c r="G12" s="478"/>
    </row>
    <row r="13" spans="2:12" x14ac:dyDescent="0.3">
      <c r="B13" s="876" t="s">
        <v>488</v>
      </c>
      <c r="C13" s="876"/>
      <c r="D13" s="876"/>
      <c r="E13" s="876"/>
      <c r="F13" s="876"/>
      <c r="G13" s="876"/>
    </row>
    <row r="14" spans="2:12" x14ac:dyDescent="0.3">
      <c r="B14" s="876" t="s">
        <v>489</v>
      </c>
      <c r="C14" s="876"/>
      <c r="D14" s="876"/>
      <c r="E14" s="876"/>
      <c r="F14" s="876"/>
      <c r="G14" s="876"/>
    </row>
    <row r="15" spans="2:12" x14ac:dyDescent="0.3">
      <c r="B15" s="478" t="s">
        <v>480</v>
      </c>
      <c r="C15" s="478"/>
      <c r="D15" s="478"/>
      <c r="E15" s="478"/>
      <c r="F15" s="478"/>
      <c r="G15" s="478"/>
    </row>
    <row r="16" spans="2:12" x14ac:dyDescent="0.3">
      <c r="B16" s="876" t="s">
        <v>491</v>
      </c>
      <c r="C16" s="876"/>
      <c r="D16" s="876"/>
      <c r="E16" s="876"/>
      <c r="F16" s="876"/>
      <c r="G16" s="876"/>
    </row>
    <row r="17" spans="1:8" x14ac:dyDescent="0.3">
      <c r="B17" s="470"/>
      <c r="C17" s="470"/>
      <c r="D17" s="470"/>
      <c r="E17" s="470"/>
      <c r="F17" s="470"/>
      <c r="G17" s="470"/>
      <c r="H17" s="470"/>
    </row>
    <row r="18" spans="1:8" ht="18" x14ac:dyDescent="0.3">
      <c r="B18" s="473" t="s">
        <v>493</v>
      </c>
      <c r="C18" s="473"/>
      <c r="D18" s="473"/>
      <c r="E18" s="473"/>
      <c r="F18" s="473"/>
      <c r="G18" s="473"/>
    </row>
    <row r="19" spans="1:8" x14ac:dyDescent="0.3">
      <c r="B19" s="479" t="s">
        <v>492</v>
      </c>
      <c r="C19" s="479"/>
      <c r="D19" s="479"/>
      <c r="E19" s="479"/>
      <c r="F19" s="479"/>
      <c r="G19" s="479"/>
    </row>
    <row r="20" spans="1:8" x14ac:dyDescent="0.3">
      <c r="B20" s="133" t="str">
        <f>'Initial Screens'!B14</f>
        <v>Term of analysis</v>
      </c>
      <c r="D20" s="483">
        <f>AnalysisTerm</f>
        <v>10</v>
      </c>
    </row>
    <row r="22" spans="1:8" ht="15.6" x14ac:dyDescent="0.3">
      <c r="B22" s="133" t="str">
        <f>'Initial Screens'!B16</f>
        <v>Number of VMs</v>
      </c>
      <c r="D22" s="493">
        <f>'Initial Screens'!C16</f>
        <v>5000</v>
      </c>
      <c r="H22" s="472" t="s">
        <v>494</v>
      </c>
    </row>
    <row r="23" spans="1:8" ht="15.6" x14ac:dyDescent="0.3">
      <c r="B23" s="133" t="str">
        <f>'Initial Screens'!B17</f>
        <v>Number of VM Hosts</v>
      </c>
      <c r="D23" s="493">
        <f>'Initial Screens'!C17</f>
        <v>400</v>
      </c>
      <c r="H23" s="472" t="s">
        <v>494</v>
      </c>
    </row>
    <row r="24" spans="1:8" ht="15.6" x14ac:dyDescent="0.3">
      <c r="B24" s="133" t="str">
        <f>'Initial Screens'!B18</f>
        <v>Average allocated/provisioned storage (GBs) per VM</v>
      </c>
      <c r="D24" s="493">
        <f>'Initial Screens'!C18</f>
        <v>300</v>
      </c>
      <c r="H24" s="472" t="s">
        <v>494</v>
      </c>
    </row>
    <row r="26" spans="1:8" x14ac:dyDescent="0.3">
      <c r="B26" s="133" t="str">
        <f>'Initial Screens'!B20</f>
        <v>Component Usage</v>
      </c>
      <c r="D26" s="485" t="str">
        <f>'Initial Screens'!C20</f>
        <v>Current State</v>
      </c>
      <c r="E26" s="485" t="str">
        <f>'Initial Screens'!D20</f>
        <v>Future State</v>
      </c>
    </row>
    <row r="27" spans="1:8" ht="15.6" x14ac:dyDescent="0.3">
      <c r="B27" s="133" t="str">
        <f>'Initial Screens'!B21</f>
        <v>% of Operations coverage</v>
      </c>
      <c r="C27" s="708"/>
      <c r="D27" s="494">
        <f>'Initial Screens'!C21</f>
        <v>0</v>
      </c>
      <c r="E27" s="495">
        <f>'Initial Screens'!D21</f>
        <v>1</v>
      </c>
      <c r="H27" s="472" t="s">
        <v>494</v>
      </c>
    </row>
    <row r="28" spans="1:8" ht="15.6" x14ac:dyDescent="0.3">
      <c r="A28" s="775" t="str">
        <f>'Initial Screens'!$A$22</f>
        <v>Show</v>
      </c>
      <c r="B28" s="133" t="str">
        <f>'Initial Screens'!B22</f>
        <v>% of Automation coverage</v>
      </c>
      <c r="C28" s="708"/>
      <c r="D28" s="494">
        <f>'Initial Screens'!C22</f>
        <v>0</v>
      </c>
      <c r="E28" s="756">
        <f>IF(A28="Hide",D28,'Initial Screens'!D22)</f>
        <v>1</v>
      </c>
      <c r="F28" s="708"/>
      <c r="H28" s="472" t="s">
        <v>494</v>
      </c>
    </row>
    <row r="29" spans="1:8" ht="15.6" x14ac:dyDescent="0.3">
      <c r="A29" s="775" t="str">
        <f>'Initial Screens'!$A$22</f>
        <v>Show</v>
      </c>
      <c r="B29" s="133" t="str">
        <f>'Initial Screens'!B23</f>
        <v>% Of NSX coverage</v>
      </c>
      <c r="D29" s="494">
        <f>'Initial Screens'!C23</f>
        <v>0</v>
      </c>
      <c r="E29" s="756">
        <f>IF(A29="Hide",D29,'Initial Screens'!D23)</f>
        <v>1</v>
      </c>
      <c r="F29" s="708"/>
      <c r="H29" s="472" t="s">
        <v>494</v>
      </c>
    </row>
    <row r="30" spans="1:8" ht="15.6" x14ac:dyDescent="0.3">
      <c r="A30" s="715" t="str">
        <f>IF('Initial Screens'!$C$13="VVF","Hide","Show")</f>
        <v>Show</v>
      </c>
      <c r="B30" s="133" t="str">
        <f>'Initial Screens'!B24</f>
        <v>% of vSAN Coverage</v>
      </c>
      <c r="D30" s="494">
        <f>'Initial Screens'!C24</f>
        <v>0</v>
      </c>
      <c r="E30" s="756">
        <f>IF(A30="Hide",D30,'Initial Screens'!D24)</f>
        <v>1</v>
      </c>
      <c r="F30" s="708"/>
      <c r="H30" s="472" t="s">
        <v>494</v>
      </c>
    </row>
    <row r="31" spans="1:8" x14ac:dyDescent="0.3">
      <c r="B31" s="470"/>
    </row>
    <row r="32" spans="1:8" ht="18" x14ac:dyDescent="0.3">
      <c r="B32" s="473" t="s">
        <v>269</v>
      </c>
      <c r="C32" s="473"/>
      <c r="D32" s="473"/>
      <c r="E32" s="473"/>
      <c r="F32" s="473"/>
      <c r="G32" s="473"/>
    </row>
    <row r="34" spans="1:7" x14ac:dyDescent="0.3">
      <c r="B34" s="486" t="s">
        <v>270</v>
      </c>
      <c r="E34" s="486" t="s">
        <v>462</v>
      </c>
    </row>
    <row r="35" spans="1:7" ht="29.25" customHeight="1" x14ac:dyDescent="0.3">
      <c r="B35" s="133" t="s">
        <v>271</v>
      </c>
      <c r="C35" s="2" t="str">
        <f>"vSphere"&amp;IF('Excel Output'!D27&gt;0,", VCF Operations","")&amp;IF('Excel Output'!D28&gt;0,", VCF Automation","")&amp;IF('Excel Output'!D29&gt;0,", NSX","")&amp;IF('Excel Output'!D30&gt;0,", vSAN","")</f>
        <v>vSphere</v>
      </c>
      <c r="D35" s="713"/>
      <c r="E35" s="133" t="s">
        <v>271</v>
      </c>
      <c r="F35" s="877" t="str">
        <f>IF('Initial Screens'!C13="VCF","VMware Cloud Foundation"&amp;IF('Initial Screens'!D26="Yes",", Avi Load Balancer","")&amp;IF('Initial Screens'!D27="yes",", vDefend Firewall","")&amp;IF('Initial Screens'!D28="yes",", Data Services Manager","")&amp;IF('Initial Screens'!D29="yes",", VMware Live Recovery",""),IF('Initial Screens'!C13="VVF","VMware vSphere Foundation","VMware vSphere Foundation, vSAN"))</f>
        <v>VMware vSphere Foundation, vSAN</v>
      </c>
      <c r="G35" s="877"/>
    </row>
    <row r="36" spans="1:7" ht="15.6" x14ac:dyDescent="0.3">
      <c r="A36" s="708"/>
      <c r="B36" s="133" t="s">
        <v>266</v>
      </c>
      <c r="C36" s="2" t="str">
        <f>FIXED(Compute!D40,0)&amp;" CPUs, "&amp;FIXED(Compute!D41,0)&amp;" Cores, "&amp;FIXED(Compute!D42,0)&amp;" GB RAM per Host"</f>
        <v>2 CPUs, 36 Cores, 768 GB RAM per Host</v>
      </c>
      <c r="E36" s="133" t="s">
        <v>266</v>
      </c>
      <c r="F36" s="2" t="str">
        <f>FIXED(Compute!F40,0)&amp;" CPUs, "&amp;FIXED(Compute!F41,0)&amp;" Cores, "&amp;FIXED(Compute!F42,0)&amp;" GB RAM per Host"</f>
        <v>2 CPUs, 48 Cores, 1,024 GB RAM per Host</v>
      </c>
    </row>
    <row r="37" spans="1:7" x14ac:dyDescent="0.3">
      <c r="B37" s="133" t="s">
        <v>272</v>
      </c>
      <c r="C37" s="133" t="s">
        <v>273</v>
      </c>
      <c r="E37" s="133" t="s">
        <v>272</v>
      </c>
      <c r="F37" s="133" t="s">
        <v>18</v>
      </c>
    </row>
    <row r="38" spans="1:7" ht="15" thickBot="1" x14ac:dyDescent="0.35"/>
    <row r="39" spans="1:7" ht="16.2" thickBot="1" x14ac:dyDescent="0.35">
      <c r="B39" s="484" t="str">
        <f>'Initial Screens'!C14&amp;" Year Total TCO"</f>
        <v>10 Year Total TCO</v>
      </c>
      <c r="C39" s="282">
        <f ca="1">SUM(C45:C53)</f>
        <v>214682868.69933724</v>
      </c>
      <c r="E39" s="487" t="str">
        <f>B39</f>
        <v>10 Year Total TCO</v>
      </c>
      <c r="F39" s="282">
        <f ca="1">SUM(F45:F53)</f>
        <v>122617557.25906342</v>
      </c>
    </row>
    <row r="40" spans="1:7" ht="16.2" thickBot="1" x14ac:dyDescent="0.35">
      <c r="E40" s="488" t="s">
        <v>274</v>
      </c>
      <c r="F40" s="282">
        <f ca="1">C39-F39</f>
        <v>92065311.440273821</v>
      </c>
    </row>
    <row r="41" spans="1:7" x14ac:dyDescent="0.3">
      <c r="E41" s="488" t="s">
        <v>275</v>
      </c>
      <c r="F41" s="490">
        <f ca="1">F40/C39</f>
        <v>0.4288433073307355</v>
      </c>
    </row>
    <row r="42" spans="1:7" x14ac:dyDescent="0.3">
      <c r="E42" s="489" t="s">
        <v>276</v>
      </c>
      <c r="F42" s="490">
        <f ca="1">'ROI Results'!E9</f>
        <v>9.75</v>
      </c>
    </row>
    <row r="44" spans="1:7" x14ac:dyDescent="0.3">
      <c r="B44" s="133" t="s">
        <v>630</v>
      </c>
      <c r="E44" s="133" t="str">
        <f>FIXED(D20,0)&amp;"-Year VCF Migration and Adoption Future State"</f>
        <v>10-Year VCF Migration and Adoption Future State</v>
      </c>
    </row>
    <row r="45" spans="1:7" ht="15.6" x14ac:dyDescent="0.3">
      <c r="A45" s="708"/>
      <c r="B45" s="487" t="s">
        <v>40</v>
      </c>
      <c r="C45" s="590">
        <f>'ROI Results'!O71</f>
        <v>61914771.873750672</v>
      </c>
      <c r="D45" s="285" t="s">
        <v>231</v>
      </c>
      <c r="E45" s="487" t="s">
        <v>40</v>
      </c>
      <c r="F45" s="590">
        <f>'ROI Results'!O85</f>
        <v>27627723.825431589</v>
      </c>
    </row>
    <row r="46" spans="1:7" ht="15.6" x14ac:dyDescent="0.3">
      <c r="A46" s="708"/>
      <c r="B46" s="488" t="s">
        <v>41</v>
      </c>
      <c r="C46" s="590">
        <f>'ROI Results'!O72</f>
        <v>25461120.208846748</v>
      </c>
      <c r="D46" s="285" t="s">
        <v>231</v>
      </c>
      <c r="E46" s="488" t="s">
        <v>41</v>
      </c>
      <c r="F46" s="590">
        <f>'ROI Results'!O86</f>
        <v>9458613.2625831198</v>
      </c>
    </row>
    <row r="47" spans="1:7" ht="15.6" x14ac:dyDescent="0.3">
      <c r="A47" s="708"/>
      <c r="B47" s="488" t="s">
        <v>182</v>
      </c>
      <c r="C47" s="590">
        <f>'ROI Results'!O73</f>
        <v>6166095.5586758852</v>
      </c>
      <c r="D47" s="285" t="s">
        <v>231</v>
      </c>
      <c r="E47" s="488" t="s">
        <v>182</v>
      </c>
      <c r="F47" s="590">
        <f>'ROI Results'!O87</f>
        <v>2743020.2907715766</v>
      </c>
    </row>
    <row r="48" spans="1:7" ht="15.6" x14ac:dyDescent="0.3">
      <c r="A48" s="708"/>
      <c r="B48" s="488" t="s">
        <v>149</v>
      </c>
      <c r="C48" s="590">
        <f>'ROI Results'!O74</f>
        <v>6288946.2677744143</v>
      </c>
      <c r="D48" s="285" t="s">
        <v>231</v>
      </c>
      <c r="E48" s="488" t="s">
        <v>149</v>
      </c>
      <c r="F48" s="590">
        <f>'ROI Results'!O88</f>
        <v>8881408.0000000019</v>
      </c>
    </row>
    <row r="49" spans="1:7" ht="15.6" x14ac:dyDescent="0.3">
      <c r="A49" s="708"/>
      <c r="B49" s="488" t="s">
        <v>183</v>
      </c>
      <c r="C49" s="590">
        <f>'ROI Results'!O75</f>
        <v>37336276.999631703</v>
      </c>
      <c r="D49" s="285" t="s">
        <v>231</v>
      </c>
      <c r="E49" s="488" t="s">
        <v>183</v>
      </c>
      <c r="F49" s="590">
        <f>'ROI Results'!O89</f>
        <v>21605404.608530141</v>
      </c>
    </row>
    <row r="50" spans="1:7" ht="15.6" x14ac:dyDescent="0.3">
      <c r="A50" s="708"/>
      <c r="B50" s="488" t="s">
        <v>136</v>
      </c>
      <c r="C50" s="590">
        <f ca="1">'ROI Results'!O76</f>
        <v>68936136.423810497</v>
      </c>
      <c r="D50" s="285" t="s">
        <v>231</v>
      </c>
      <c r="E50" s="488" t="s">
        <v>136</v>
      </c>
      <c r="F50" s="590">
        <f ca="1">'ROI Results'!O90</f>
        <v>48893378.511249721</v>
      </c>
    </row>
    <row r="51" spans="1:7" ht="15.6" x14ac:dyDescent="0.3">
      <c r="A51" s="708"/>
      <c r="B51" s="488" t="s">
        <v>184</v>
      </c>
      <c r="C51" s="590">
        <f>'ROI Results'!O77</f>
        <v>1250000</v>
      </c>
      <c r="D51" s="285" t="s">
        <v>231</v>
      </c>
      <c r="E51" s="488" t="s">
        <v>184</v>
      </c>
      <c r="F51" s="590">
        <f>'ROI Results'!O91</f>
        <v>1375000</v>
      </c>
    </row>
    <row r="52" spans="1:7" ht="15.6" x14ac:dyDescent="0.3">
      <c r="A52" s="708"/>
      <c r="B52" s="488" t="s">
        <v>185</v>
      </c>
      <c r="C52" s="590">
        <f ca="1">'ROI Results'!O78</f>
        <v>7290521.3668473233</v>
      </c>
      <c r="D52" s="285" t="s">
        <v>231</v>
      </c>
      <c r="E52" s="488" t="s">
        <v>185</v>
      </c>
      <c r="F52" s="590">
        <f ca="1">'ROI Results'!O92</f>
        <v>1877008.7604972676</v>
      </c>
    </row>
    <row r="53" spans="1:7" ht="15.6" x14ac:dyDescent="0.3">
      <c r="A53" s="708"/>
      <c r="B53" s="489" t="s">
        <v>186</v>
      </c>
      <c r="C53" s="590">
        <f ca="1">'ROI Results'!O79</f>
        <v>39000</v>
      </c>
      <c r="D53" s="285" t="s">
        <v>231</v>
      </c>
      <c r="E53" s="489" t="s">
        <v>186</v>
      </c>
      <c r="F53" s="590">
        <f ca="1">'ROI Results'!O93</f>
        <v>156000</v>
      </c>
    </row>
    <row r="55" spans="1:7" ht="18" x14ac:dyDescent="0.3">
      <c r="B55" s="473" t="s">
        <v>481</v>
      </c>
      <c r="C55" s="473"/>
      <c r="D55" s="473"/>
      <c r="E55" s="473"/>
      <c r="F55" s="473"/>
      <c r="G55" s="473"/>
    </row>
    <row r="57" spans="1:7" ht="33" customHeight="1" x14ac:dyDescent="0.3">
      <c r="B57" s="875" t="s">
        <v>482</v>
      </c>
      <c r="C57" s="875"/>
      <c r="D57" s="875"/>
      <c r="E57" s="875"/>
      <c r="F57" s="875"/>
      <c r="G57" s="875"/>
    </row>
  </sheetData>
  <mergeCells count="6">
    <mergeCell ref="B57:G57"/>
    <mergeCell ref="B11:G11"/>
    <mergeCell ref="B13:G13"/>
    <mergeCell ref="B14:G14"/>
    <mergeCell ref="B16:G16"/>
    <mergeCell ref="F35:G35"/>
  </mergeCells>
  <dataValidations count="1">
    <dataValidation type="whole" operator="greaterThanOrEqual" allowBlank="1" showInputMessage="1" showErrorMessage="1" sqref="D22:D24" xr:uid="{78C9AE4D-22D7-4106-BDE4-CF1B4DA8FD1F}">
      <formula1>0</formula1>
    </dataValidation>
  </dataValidations>
  <hyperlinks>
    <hyperlink ref="D45" location="Compute!A1" display="worksheet" xr:uid="{3753C7A5-C8B5-451F-8D0D-DB8802A9EC3A}"/>
    <hyperlink ref="D46" location="Storage!A1" display="worksheet" xr:uid="{EA7B2976-B9C0-4E3A-9026-915FE2F30E92}"/>
    <hyperlink ref="D47" location="Network!A1" display="worksheet" xr:uid="{9C9D4C12-173D-4F3E-9AC1-0F83F0CE8BAE}"/>
    <hyperlink ref="D49" location="Facilities!A1" display="worksheet" xr:uid="{471632CF-722C-44AD-A31F-647855A84E47}"/>
    <hyperlink ref="D50" location="Labor!A1" display="worksheet" xr:uid="{4B39187C-1657-41AD-86EC-B84D39C1D14C}"/>
    <hyperlink ref="D48" location="Software!A1" display="worksheet" xr:uid="{62064243-9C45-47FE-AE47-ECE818636884}"/>
    <hyperlink ref="D52" location="'Migration - Reskilling'!A1" display="worksheet" xr:uid="{B9DDD6CC-FBE0-4E16-8BF0-DE5611E0C123}"/>
    <hyperlink ref="D53" location="'Migration - Reskilling'!A1" display="worksheet" xr:uid="{169C0C89-21E4-416C-9787-86CECEF6E31C}"/>
    <hyperlink ref="D51" location="Support!A1" display="worksheet" xr:uid="{5C5100AB-7FF1-47C1-94F6-EEBC32FD2F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19F4-0A25-47DD-8AE9-059DDB70BD96}">
  <sheetPr codeName="Sheet4">
    <tabColor theme="9" tint="0.59999389629810485"/>
  </sheetPr>
  <dimension ref="A1:T2034"/>
  <sheetViews>
    <sheetView showGridLines="0" topLeftCell="A113" zoomScale="65" zoomScaleNormal="100" workbookViewId="0">
      <selection activeCell="C118" sqref="C118"/>
    </sheetView>
  </sheetViews>
  <sheetFormatPr defaultColWidth="16.44140625" defaultRowHeight="15.6" x14ac:dyDescent="0.3"/>
  <cols>
    <col min="1" max="1" width="9.21875" style="302" bestFit="1" customWidth="1"/>
    <col min="2" max="2" width="47" style="95" customWidth="1"/>
    <col min="3" max="4" width="18.77734375" style="95" customWidth="1"/>
    <col min="5" max="5" width="23.77734375" style="95" customWidth="1"/>
    <col min="6" max="6" width="25.21875" style="99" customWidth="1"/>
    <col min="7" max="7" width="25.21875" style="210" customWidth="1"/>
    <col min="8" max="8" width="142" style="100" customWidth="1"/>
    <col min="9" max="9" width="9" style="95" customWidth="1"/>
    <col min="10" max="10" width="13.44140625" style="95" customWidth="1"/>
    <col min="11" max="11" width="42.21875" style="95" customWidth="1"/>
    <col min="12" max="12" width="25.44140625" style="95" customWidth="1"/>
    <col min="13" max="13" width="27.109375" style="95" customWidth="1"/>
    <col min="14" max="14" width="18.77734375" style="95" customWidth="1"/>
    <col min="15" max="17" width="18.77734375" style="99" customWidth="1"/>
    <col min="18" max="18" width="22.21875" style="96" customWidth="1"/>
    <col min="19" max="19" width="20.77734375" style="100" customWidth="1"/>
    <col min="20" max="20" width="43" style="195" customWidth="1"/>
    <col min="21" max="21" width="70.44140625" style="95" customWidth="1"/>
    <col min="22" max="22" width="6.77734375" style="95" customWidth="1"/>
    <col min="23" max="23" width="70.44140625" style="95" customWidth="1"/>
    <col min="24" max="16384" width="16.44140625" style="95"/>
  </cols>
  <sheetData>
    <row r="1" spans="1:20" ht="20.25" customHeight="1" thickBot="1" x14ac:dyDescent="0.35">
      <c r="F1" s="95"/>
      <c r="G1" s="98"/>
      <c r="H1" s="98"/>
      <c r="N1" s="94"/>
      <c r="O1" s="95"/>
      <c r="P1" s="95"/>
      <c r="Q1" s="95"/>
      <c r="R1" s="95"/>
      <c r="S1" s="95"/>
      <c r="T1" s="95"/>
    </row>
    <row r="2" spans="1:20" ht="16.2" thickBot="1" x14ac:dyDescent="0.35">
      <c r="B2" s="886" t="s">
        <v>194</v>
      </c>
      <c r="C2" s="887"/>
      <c r="D2" s="887"/>
      <c r="E2" s="887"/>
      <c r="F2" s="207"/>
      <c r="G2" s="466" t="s">
        <v>473</v>
      </c>
      <c r="H2" s="463"/>
      <c r="I2" s="96"/>
      <c r="L2" s="96"/>
      <c r="M2" s="96"/>
      <c r="N2" s="96"/>
      <c r="O2" s="96"/>
      <c r="P2" s="96"/>
      <c r="Q2" s="96"/>
      <c r="S2" s="97"/>
    </row>
    <row r="3" spans="1:20" ht="16.2" thickBot="1" x14ac:dyDescent="0.35">
      <c r="F3" s="212"/>
      <c r="G3" s="98"/>
      <c r="H3" s="213"/>
      <c r="I3" s="96"/>
      <c r="L3" s="96"/>
      <c r="M3" s="96"/>
      <c r="N3" s="96"/>
      <c r="O3" s="96"/>
      <c r="P3" s="96"/>
      <c r="Q3" s="96"/>
    </row>
    <row r="4" spans="1:20" ht="20.25" customHeight="1" thickBot="1" x14ac:dyDescent="0.35">
      <c r="B4" s="5" t="s">
        <v>12</v>
      </c>
      <c r="C4" s="6"/>
      <c r="D4" s="6"/>
      <c r="E4" s="6"/>
      <c r="F4" s="72"/>
      <c r="G4" s="98"/>
      <c r="H4" s="178" t="s">
        <v>2</v>
      </c>
      <c r="I4" s="195"/>
      <c r="L4" s="100"/>
      <c r="M4" s="100"/>
      <c r="N4" s="100"/>
      <c r="O4" s="100"/>
      <c r="P4" s="100"/>
      <c r="Q4" s="100"/>
      <c r="R4" s="100"/>
    </row>
    <row r="5" spans="1:20" ht="20.25" customHeight="1" thickBot="1" x14ac:dyDescent="0.35">
      <c r="B5" s="7" t="s">
        <v>5</v>
      </c>
      <c r="C5" s="50"/>
      <c r="D5" s="50"/>
      <c r="E5" s="8"/>
      <c r="F5" s="138">
        <f>'Excel Output'!D22</f>
        <v>5000</v>
      </c>
      <c r="G5" s="98"/>
      <c r="H5" s="568"/>
      <c r="I5" s="195"/>
      <c r="K5" s="100"/>
      <c r="L5" s="100"/>
      <c r="M5" s="100"/>
      <c r="N5" s="100"/>
      <c r="O5" s="100"/>
      <c r="P5" s="100"/>
      <c r="Q5" s="100"/>
      <c r="R5" s="100"/>
    </row>
    <row r="6" spans="1:20" ht="20.25" customHeight="1" thickBot="1" x14ac:dyDescent="0.35">
      <c r="B6" s="7" t="s">
        <v>42</v>
      </c>
      <c r="C6" s="50"/>
      <c r="D6" s="50"/>
      <c r="E6" s="8"/>
      <c r="F6" s="135">
        <f>'Excel Output'!$D$23</f>
        <v>400</v>
      </c>
      <c r="G6" s="98"/>
      <c r="H6" s="568"/>
      <c r="I6" s="195"/>
      <c r="K6" s="100"/>
      <c r="L6" s="100"/>
      <c r="M6" s="100"/>
      <c r="N6" s="100"/>
      <c r="O6" s="100"/>
      <c r="P6" s="100"/>
      <c r="Q6" s="100"/>
      <c r="R6" s="100"/>
    </row>
    <row r="7" spans="1:20" ht="20.25" customHeight="1" thickBot="1" x14ac:dyDescent="0.35">
      <c r="B7" s="7" t="s">
        <v>609</v>
      </c>
      <c r="C7" s="50"/>
      <c r="D7" s="50"/>
      <c r="E7" s="8"/>
      <c r="F7" s="569">
        <f>F5/F6</f>
        <v>12.5</v>
      </c>
      <c r="G7" s="98"/>
      <c r="H7" s="499" t="s">
        <v>8</v>
      </c>
      <c r="I7" s="195"/>
      <c r="K7" s="100"/>
      <c r="L7" s="100"/>
      <c r="M7" s="100"/>
      <c r="N7" s="100"/>
      <c r="O7" s="100"/>
      <c r="P7" s="100"/>
      <c r="Q7" s="100"/>
      <c r="R7" s="100"/>
    </row>
    <row r="8" spans="1:20" ht="20.25" customHeight="1" thickBot="1" x14ac:dyDescent="0.35">
      <c r="A8" s="302" t="str">
        <f>IF('Initial Screens'!$C$13="VVF","Hide","Show")</f>
        <v>Show</v>
      </c>
      <c r="B8" s="7" t="s">
        <v>188</v>
      </c>
      <c r="C8" s="50"/>
      <c r="D8" s="50"/>
      <c r="E8" s="8"/>
      <c r="F8" s="716">
        <f>IF('Initial Screens'!C13="VVF",0,'Excel Output'!D30)</f>
        <v>0</v>
      </c>
      <c r="G8" s="708"/>
      <c r="H8" s="568"/>
      <c r="I8" s="195"/>
      <c r="K8" s="100"/>
      <c r="L8" s="100"/>
      <c r="M8" s="100"/>
      <c r="N8" s="100"/>
      <c r="O8" s="100"/>
      <c r="P8" s="100"/>
      <c r="Q8" s="100"/>
      <c r="R8" s="100"/>
    </row>
    <row r="9" spans="1:20" ht="20.25" customHeight="1" thickBot="1" x14ac:dyDescent="0.35">
      <c r="A9" s="302" t="str">
        <f>IF($F$8=100%,"Hide","Show")</f>
        <v>Show</v>
      </c>
      <c r="B9" s="7" t="s">
        <v>190</v>
      </c>
      <c r="C9" s="50"/>
      <c r="D9" s="50"/>
      <c r="E9" s="8"/>
      <c r="F9" s="78">
        <f>IF(F8=1,0,25000)</f>
        <v>25000</v>
      </c>
      <c r="G9" s="98"/>
      <c r="H9" s="379" t="s">
        <v>255</v>
      </c>
      <c r="I9" s="195"/>
    </row>
    <row r="10" spans="1:20" ht="20.25" customHeight="1" thickBot="1" x14ac:dyDescent="0.35">
      <c r="A10" s="302" t="str">
        <f>IF($F$8=0,"Hide","Show")</f>
        <v>Hide</v>
      </c>
      <c r="B10" s="7" t="s">
        <v>189</v>
      </c>
      <c r="C10" s="50"/>
      <c r="D10" s="50"/>
      <c r="E10" s="67"/>
      <c r="F10" s="78">
        <f>IF(F8&gt;0,35000,0)</f>
        <v>0</v>
      </c>
      <c r="G10" s="98"/>
      <c r="H10" s="379" t="s">
        <v>255</v>
      </c>
      <c r="I10" s="195"/>
    </row>
    <row r="11" spans="1:20" ht="20.25" customHeight="1" thickBot="1" x14ac:dyDescent="0.35">
      <c r="B11" s="7" t="s">
        <v>212</v>
      </c>
      <c r="C11" s="50"/>
      <c r="D11" s="50"/>
      <c r="E11" s="67"/>
      <c r="F11" s="183">
        <v>0.15</v>
      </c>
      <c r="G11" s="98"/>
      <c r="H11" s="379" t="s">
        <v>255</v>
      </c>
      <c r="I11" s="195"/>
    </row>
    <row r="12" spans="1:20" ht="20.25" customHeight="1" thickBot="1" x14ac:dyDescent="0.35">
      <c r="B12" s="91" t="str">
        <f>FIXED(AnalysisTerm,0)&amp;"-Year Current State Cost"</f>
        <v>10-Year Current State Cost</v>
      </c>
      <c r="C12" s="92"/>
      <c r="D12" s="92"/>
      <c r="E12" s="93"/>
      <c r="F12" s="147">
        <f>(ROUND(F6*(1-F8),0)*F9+ROUND(F6*F8,0)*F10)*(1+AnalysisTerm*F11)</f>
        <v>25000000</v>
      </c>
      <c r="G12" s="98"/>
      <c r="H12" s="499" t="s">
        <v>8</v>
      </c>
      <c r="I12" s="195"/>
    </row>
    <row r="13" spans="1:20" ht="20.25" customHeight="1" thickBot="1" x14ac:dyDescent="0.35">
      <c r="B13" s="74" t="s">
        <v>13</v>
      </c>
      <c r="C13" s="152"/>
      <c r="D13" s="75"/>
      <c r="E13" s="67"/>
      <c r="F13" s="12"/>
      <c r="G13" s="98"/>
      <c r="H13" s="73"/>
      <c r="I13" s="73"/>
    </row>
    <row r="14" spans="1:20" ht="20.25" customHeight="1" thickBot="1" x14ac:dyDescent="0.35">
      <c r="B14" s="7" t="s">
        <v>46</v>
      </c>
      <c r="C14" s="50"/>
      <c r="D14" s="50"/>
      <c r="E14" s="67"/>
      <c r="F14" s="87">
        <f>IF('Excel Output'!E28&gt;'Excel Output'!D28,10%,5%)</f>
        <v>0.1</v>
      </c>
      <c r="G14" s="708"/>
      <c r="H14" s="378" t="s">
        <v>193</v>
      </c>
      <c r="I14" s="195"/>
    </row>
    <row r="15" spans="1:20" ht="20.25" customHeight="1" thickBot="1" x14ac:dyDescent="0.35">
      <c r="B15" s="155" t="s">
        <v>47</v>
      </c>
      <c r="C15" s="172"/>
      <c r="D15" s="172"/>
      <c r="E15" s="176"/>
      <c r="F15" s="89">
        <f>ROUND(F$5*(1-F$14),0)</f>
        <v>4500</v>
      </c>
      <c r="G15" s="98"/>
      <c r="H15" s="500" t="s">
        <v>8</v>
      </c>
      <c r="I15" s="195"/>
    </row>
    <row r="16" spans="1:20" ht="20.25" customHeight="1" thickBot="1" x14ac:dyDescent="0.35">
      <c r="A16" s="302" t="str">
        <f>IF('Initial Screens'!$C$13="VVF","Hide","Show")</f>
        <v>Show</v>
      </c>
      <c r="B16" s="7" t="s">
        <v>191</v>
      </c>
      <c r="C16" s="50"/>
      <c r="D16" s="50"/>
      <c r="E16" s="8"/>
      <c r="F16" s="183">
        <f>'Excel Output'!E30</f>
        <v>1</v>
      </c>
      <c r="G16" s="98"/>
      <c r="H16" s="378" t="s">
        <v>93</v>
      </c>
      <c r="I16" s="195"/>
      <c r="K16" s="100"/>
      <c r="L16" s="100"/>
      <c r="M16" s="100"/>
      <c r="N16" s="100"/>
      <c r="O16" s="100"/>
      <c r="P16" s="100" t="s">
        <v>761</v>
      </c>
      <c r="Q16" s="100" t="s">
        <v>761</v>
      </c>
      <c r="R16" s="100" t="s">
        <v>762</v>
      </c>
      <c r="S16" s="100" t="s">
        <v>762</v>
      </c>
    </row>
    <row r="17" spans="1:19" ht="20.25" customHeight="1" thickBot="1" x14ac:dyDescent="0.35">
      <c r="A17" s="715"/>
      <c r="B17" s="7" t="str">
        <f>IF('Initial Screens'!$C$13="VVF","Number of VM Hosts","Number of VM Hosts (vSAN Ready Nodes and ESXi Hosts)")</f>
        <v>Number of VM Hosts (vSAN Ready Nodes and ESXi Hosts)</v>
      </c>
      <c r="C17" s="172"/>
      <c r="D17" s="172"/>
      <c r="E17" s="176"/>
      <c r="F17" s="135">
        <f>F46</f>
        <v>143</v>
      </c>
      <c r="G17" s="98"/>
      <c r="H17" s="500" t="s">
        <v>218</v>
      </c>
      <c r="I17" s="195"/>
      <c r="L17"/>
      <c r="M17" s="95" t="s">
        <v>752</v>
      </c>
      <c r="N17" s="206" t="s">
        <v>12</v>
      </c>
      <c r="O17" s="206" t="s">
        <v>13</v>
      </c>
      <c r="P17" s="99" t="s">
        <v>72</v>
      </c>
      <c r="Q17" s="99" t="s">
        <v>73</v>
      </c>
      <c r="R17" s="99" t="s">
        <v>72</v>
      </c>
      <c r="S17" s="99" t="s">
        <v>73</v>
      </c>
    </row>
    <row r="18" spans="1:19" ht="20.25" customHeight="1" thickBot="1" x14ac:dyDescent="0.35">
      <c r="B18" s="7" t="s">
        <v>609</v>
      </c>
      <c r="C18" s="172"/>
      <c r="D18" s="172"/>
      <c r="E18" s="176"/>
      <c r="F18" s="569">
        <f>F15/F17</f>
        <v>31.46853146853147</v>
      </c>
      <c r="G18" s="98"/>
      <c r="H18" s="499" t="s">
        <v>8</v>
      </c>
      <c r="I18" s="195"/>
      <c r="L18" s="765" t="s">
        <v>757</v>
      </c>
      <c r="M18" s="766" t="s">
        <v>753</v>
      </c>
      <c r="N18" s="767">
        <v>0</v>
      </c>
      <c r="O18" s="772">
        <v>1</v>
      </c>
      <c r="P18" s="888">
        <v>0.3</v>
      </c>
      <c r="Q18" s="889">
        <v>0.45873786407766981</v>
      </c>
      <c r="R18" s="892">
        <v>0.35</v>
      </c>
      <c r="S18" s="895">
        <v>0.45873786407766981</v>
      </c>
    </row>
    <row r="19" spans="1:19" ht="20.25" customHeight="1" thickBot="1" x14ac:dyDescent="0.35">
      <c r="A19" s="302" t="str">
        <f>IF($F$16=0%,"Hide","Show")</f>
        <v>Show</v>
      </c>
      <c r="B19" s="7" t="s">
        <v>48</v>
      </c>
      <c r="C19" s="50"/>
      <c r="D19" s="50"/>
      <c r="E19" s="708"/>
      <c r="F19" s="717">
        <f>ROUND(F16*F17,0)</f>
        <v>143</v>
      </c>
      <c r="G19" s="496" t="s">
        <v>503</v>
      </c>
      <c r="H19" s="500" t="s">
        <v>8</v>
      </c>
      <c r="I19" s="195"/>
      <c r="L19" s="768" t="s">
        <v>757</v>
      </c>
      <c r="M19" s="709" t="s">
        <v>754</v>
      </c>
      <c r="N19" s="491">
        <v>0</v>
      </c>
      <c r="O19" s="773">
        <v>1</v>
      </c>
      <c r="P19" s="888"/>
      <c r="Q19" s="890"/>
      <c r="R19" s="893"/>
      <c r="S19" s="895"/>
    </row>
    <row r="20" spans="1:19" ht="20.25" customHeight="1" thickBot="1" x14ac:dyDescent="0.35">
      <c r="A20" s="302" t="str">
        <f>IF($F$16=100%,"Hide","Show")</f>
        <v>Hide</v>
      </c>
      <c r="B20" s="7" t="s">
        <v>49</v>
      </c>
      <c r="C20" s="50"/>
      <c r="D20" s="50"/>
      <c r="E20" s="708"/>
      <c r="F20" s="717">
        <f>ROUND(F17*(1-F16),0)</f>
        <v>0</v>
      </c>
      <c r="G20" s="496" t="s">
        <v>503</v>
      </c>
      <c r="H20" s="500" t="s">
        <v>8</v>
      </c>
      <c r="I20" s="195"/>
      <c r="L20" s="768" t="s">
        <v>757</v>
      </c>
      <c r="M20" s="709" t="s">
        <v>267</v>
      </c>
      <c r="N20" s="491">
        <v>0</v>
      </c>
      <c r="O20" s="773">
        <v>1</v>
      </c>
      <c r="P20" s="888"/>
      <c r="Q20" s="890"/>
      <c r="R20" s="893"/>
      <c r="S20" s="895"/>
    </row>
    <row r="21" spans="1:19" ht="20.25" customHeight="1" thickBot="1" x14ac:dyDescent="0.35">
      <c r="A21" s="302" t="str">
        <f>IF($F$16=0%,"Hide","Show")</f>
        <v>Show</v>
      </c>
      <c r="B21" s="155" t="s">
        <v>196</v>
      </c>
      <c r="C21" s="172"/>
      <c r="D21" s="172"/>
      <c r="E21" s="176"/>
      <c r="F21" s="139">
        <f>IF(F16=0,0,C65)</f>
        <v>25000</v>
      </c>
      <c r="G21" s="496" t="s">
        <v>503</v>
      </c>
      <c r="H21" s="501" t="s">
        <v>256</v>
      </c>
      <c r="I21" s="195"/>
      <c r="L21" s="769" t="s">
        <v>757</v>
      </c>
      <c r="M21" s="770" t="s">
        <v>268</v>
      </c>
      <c r="N21" s="771">
        <v>0</v>
      </c>
      <c r="O21" s="774">
        <v>1</v>
      </c>
      <c r="P21" s="888"/>
      <c r="Q21" s="891"/>
      <c r="R21" s="894"/>
      <c r="S21" s="895"/>
    </row>
    <row r="22" spans="1:19" ht="20.25" customHeight="1" thickBot="1" x14ac:dyDescent="0.35">
      <c r="A22" s="302" t="str">
        <f>IF($F$16=100%,"Hide","Show")</f>
        <v>Hide</v>
      </c>
      <c r="B22" s="7" t="s">
        <v>51</v>
      </c>
      <c r="C22" s="50"/>
      <c r="D22" s="50"/>
      <c r="E22" s="214"/>
      <c r="F22" s="78">
        <f>IF(F16=1,0,F9)</f>
        <v>0</v>
      </c>
      <c r="G22" s="98"/>
      <c r="H22" s="380" t="s">
        <v>257</v>
      </c>
      <c r="I22" s="195"/>
      <c r="L22" s="765" t="s">
        <v>758</v>
      </c>
      <c r="M22" s="766" t="s">
        <v>753</v>
      </c>
      <c r="N22" s="767">
        <v>0</v>
      </c>
      <c r="O22" s="772">
        <v>1</v>
      </c>
      <c r="P22" s="888">
        <v>0.3</v>
      </c>
      <c r="Q22" s="889">
        <v>0.40909090909090901</v>
      </c>
      <c r="R22" s="892">
        <v>0.3125</v>
      </c>
      <c r="S22" s="895">
        <v>0.40909090909090901</v>
      </c>
    </row>
    <row r="23" spans="1:19" ht="20.25" customHeight="1" thickBot="1" x14ac:dyDescent="0.35">
      <c r="B23" s="7" t="s">
        <v>212</v>
      </c>
      <c r="C23" s="50"/>
      <c r="D23" s="50"/>
      <c r="E23" s="67"/>
      <c r="F23" s="183">
        <v>0.15</v>
      </c>
      <c r="G23" s="98"/>
      <c r="H23" s="380" t="s">
        <v>6</v>
      </c>
      <c r="I23" s="195"/>
      <c r="L23" s="768" t="s">
        <v>758</v>
      </c>
      <c r="M23" s="709" t="s">
        <v>754</v>
      </c>
      <c r="N23" s="491">
        <v>0</v>
      </c>
      <c r="O23" s="773">
        <v>1</v>
      </c>
      <c r="P23" s="888"/>
      <c r="Q23" s="890"/>
      <c r="R23" s="893"/>
      <c r="S23" s="895"/>
    </row>
    <row r="24" spans="1:19" ht="20.25" customHeight="1" thickBot="1" x14ac:dyDescent="0.35">
      <c r="B24" s="91" t="str">
        <f>FIXED(AnalysisTerm,0)&amp;"-Year Future State Cost"</f>
        <v>10-Year Future State Cost</v>
      </c>
      <c r="C24" s="92"/>
      <c r="D24" s="92"/>
      <c r="E24" s="93"/>
      <c r="F24" s="102">
        <f>ROUND(F19*F21+F20*F22,0)*(1+AnalysisTerm*F23)</f>
        <v>8937500</v>
      </c>
      <c r="G24" s="98"/>
      <c r="H24" s="499" t="s">
        <v>8</v>
      </c>
      <c r="I24" s="195"/>
      <c r="L24" s="768" t="s">
        <v>758</v>
      </c>
      <c r="M24" s="709" t="s">
        <v>267</v>
      </c>
      <c r="N24" s="491">
        <v>0.5</v>
      </c>
      <c r="O24" s="773">
        <v>1</v>
      </c>
      <c r="P24" s="888"/>
      <c r="Q24" s="890"/>
      <c r="R24" s="893"/>
      <c r="S24" s="895"/>
    </row>
    <row r="25" spans="1:19" ht="20.25" customHeight="1" thickBot="1" x14ac:dyDescent="0.35">
      <c r="F25" s="96"/>
      <c r="G25" s="98"/>
      <c r="H25" s="95"/>
      <c r="I25" s="195"/>
      <c r="L25" s="769" t="s">
        <v>758</v>
      </c>
      <c r="M25" s="770" t="s">
        <v>268</v>
      </c>
      <c r="N25" s="771">
        <v>0</v>
      </c>
      <c r="O25" s="774">
        <v>1</v>
      </c>
      <c r="P25" s="888"/>
      <c r="Q25" s="891"/>
      <c r="R25" s="894"/>
      <c r="S25" s="895"/>
    </row>
    <row r="26" spans="1:19" ht="16.2" thickBot="1" x14ac:dyDescent="0.35">
      <c r="B26" s="886" t="s">
        <v>59</v>
      </c>
      <c r="C26" s="887"/>
      <c r="D26" s="887"/>
      <c r="E26" s="887"/>
      <c r="F26" s="207"/>
      <c r="G26" s="98"/>
      <c r="H26" s="208"/>
      <c r="I26" s="96"/>
      <c r="J26" s="96"/>
      <c r="K26" s="96"/>
      <c r="L26" s="765" t="s">
        <v>759</v>
      </c>
      <c r="M26" s="766" t="s">
        <v>753</v>
      </c>
      <c r="N26" s="767">
        <v>0.5</v>
      </c>
      <c r="O26" s="772">
        <v>1</v>
      </c>
      <c r="P26" s="888">
        <v>0.3125</v>
      </c>
      <c r="Q26" s="889">
        <v>0.40909090909090901</v>
      </c>
      <c r="R26" s="892">
        <v>0.3</v>
      </c>
      <c r="S26" s="895">
        <v>0.40909090909090901</v>
      </c>
    </row>
    <row r="27" spans="1:19" ht="16.2" thickBot="1" x14ac:dyDescent="0.35">
      <c r="B27" s="776"/>
      <c r="C27" s="776"/>
      <c r="D27" s="776"/>
      <c r="E27" s="776"/>
      <c r="F27" s="777"/>
      <c r="G27" s="98"/>
      <c r="H27" s="208"/>
      <c r="I27" s="778"/>
      <c r="J27" s="778"/>
      <c r="K27" s="778"/>
      <c r="L27" s="43"/>
      <c r="M27" s="709"/>
      <c r="N27" s="779"/>
      <c r="O27" s="780"/>
      <c r="P27" s="888"/>
      <c r="Q27" s="890"/>
      <c r="R27" s="893"/>
      <c r="S27" s="895"/>
    </row>
    <row r="28" spans="1:19" ht="16.2" thickBot="1" x14ac:dyDescent="0.35">
      <c r="A28" s="784" t="str">
        <f>IF('Initial Screens'!C13="VCF 9","Show","hide")</f>
        <v>Show</v>
      </c>
      <c r="B28" s="215" t="s">
        <v>763</v>
      </c>
      <c r="C28" s="182"/>
      <c r="D28" s="78" t="str">
        <f>IF(A28="show","Yes","No")</f>
        <v>Yes</v>
      </c>
      <c r="E28" s="84"/>
      <c r="F28" s="777"/>
      <c r="G28" s="98"/>
      <c r="H28" s="783" t="s">
        <v>765</v>
      </c>
      <c r="I28" s="778"/>
      <c r="J28" s="778"/>
      <c r="K28" s="778"/>
      <c r="L28" s="43"/>
      <c r="M28" s="709"/>
      <c r="N28" s="779"/>
      <c r="O28" s="780"/>
      <c r="P28" s="888"/>
      <c r="Q28" s="890"/>
      <c r="R28" s="893"/>
      <c r="S28" s="895"/>
    </row>
    <row r="29" spans="1:19" ht="16.2" thickBot="1" x14ac:dyDescent="0.35">
      <c r="A29" s="784" t="str">
        <f>IF(D28="No","hide","show")</f>
        <v>show</v>
      </c>
      <c r="B29" s="215" t="s">
        <v>834</v>
      </c>
      <c r="C29" s="182"/>
      <c r="D29" s="183">
        <f>IF(D28="Yes",20%,0%)</f>
        <v>0.2</v>
      </c>
      <c r="E29" s="776"/>
      <c r="F29" s="777"/>
      <c r="G29" s="98"/>
      <c r="H29" s="782"/>
      <c r="I29" s="778"/>
      <c r="J29" s="778"/>
      <c r="K29" s="778"/>
      <c r="L29" s="43"/>
      <c r="M29" s="709"/>
      <c r="N29" s="779"/>
      <c r="O29" s="780"/>
      <c r="P29" s="888"/>
      <c r="Q29" s="890"/>
      <c r="R29" s="893"/>
      <c r="S29" s="895"/>
    </row>
    <row r="30" spans="1:19" ht="16.2" thickBot="1" x14ac:dyDescent="0.35">
      <c r="A30" s="784" t="str">
        <f>$A$29</f>
        <v>show</v>
      </c>
      <c r="B30" s="215" t="s">
        <v>764</v>
      </c>
      <c r="C30" s="182"/>
      <c r="D30" s="183">
        <f>IF(D28="Yes",5%,0%)</f>
        <v>0.05</v>
      </c>
      <c r="E30" s="776"/>
      <c r="F30" s="777"/>
      <c r="G30" s="781">
        <f>(50%-D43)/(2+IF('Excel Output'!E27=0,2,0)+IF('Excel Output'!E29=0,2,0))*SUM(Misc!E136,Misc!E138)/2</f>
        <v>0.15</v>
      </c>
      <c r="H30" s="208"/>
      <c r="I30" s="778"/>
      <c r="J30" s="778"/>
      <c r="K30" s="778"/>
      <c r="L30" s="43"/>
      <c r="M30" s="709"/>
      <c r="N30" s="779"/>
      <c r="O30" s="780"/>
      <c r="P30" s="888"/>
      <c r="Q30" s="890"/>
      <c r="R30" s="893"/>
      <c r="S30" s="895"/>
    </row>
    <row r="31" spans="1:19" s="94" customFormat="1" x14ac:dyDescent="0.3">
      <c r="A31" s="302"/>
      <c r="B31" s="95"/>
      <c r="C31" s="95"/>
      <c r="D31" s="95"/>
      <c r="E31" s="95"/>
      <c r="G31" s="848">
        <f>G30*(1+D29)</f>
        <v>0.18</v>
      </c>
      <c r="L31" s="768" t="s">
        <v>759</v>
      </c>
      <c r="M31" s="709" t="s">
        <v>754</v>
      </c>
      <c r="N31" s="491">
        <v>0.5</v>
      </c>
      <c r="O31" s="772">
        <v>1</v>
      </c>
      <c r="P31" s="888"/>
      <c r="Q31" s="890"/>
      <c r="R31" s="893"/>
      <c r="S31" s="895"/>
    </row>
    <row r="32" spans="1:19" s="94" customFormat="1" x14ac:dyDescent="0.3">
      <c r="A32" s="302"/>
      <c r="B32" s="75" t="s">
        <v>60</v>
      </c>
      <c r="C32" s="95"/>
      <c r="D32" s="185" t="s">
        <v>12</v>
      </c>
      <c r="E32" s="206"/>
      <c r="F32" s="156" t="s">
        <v>13</v>
      </c>
      <c r="H32" s="156" t="s">
        <v>61</v>
      </c>
      <c r="I32" s="95"/>
      <c r="L32" s="768" t="s">
        <v>759</v>
      </c>
      <c r="M32" s="709" t="s">
        <v>267</v>
      </c>
      <c r="N32" s="491">
        <v>0</v>
      </c>
      <c r="O32" s="773">
        <v>1</v>
      </c>
      <c r="P32" s="888"/>
      <c r="Q32" s="890"/>
      <c r="R32" s="893"/>
      <c r="S32" s="895"/>
    </row>
    <row r="33" spans="1:19" s="94" customFormat="1" ht="16.2" thickBot="1" x14ac:dyDescent="0.35">
      <c r="A33" s="302"/>
      <c r="B33" s="215" t="s">
        <v>62</v>
      </c>
      <c r="C33" s="182"/>
      <c r="D33" s="216">
        <f>F5</f>
        <v>5000</v>
      </c>
      <c r="E33" s="95"/>
      <c r="F33" s="216">
        <f>F15</f>
        <v>4500</v>
      </c>
      <c r="G33" s="708"/>
      <c r="H33" s="611">
        <f>H5</f>
        <v>0</v>
      </c>
      <c r="I33" s="95"/>
      <c r="L33" s="769" t="s">
        <v>759</v>
      </c>
      <c r="M33" s="770" t="s">
        <v>268</v>
      </c>
      <c r="N33" s="771">
        <v>0</v>
      </c>
      <c r="O33" s="774">
        <v>1</v>
      </c>
      <c r="P33" s="888"/>
      <c r="Q33" s="891"/>
      <c r="R33" s="894"/>
      <c r="S33" s="895"/>
    </row>
    <row r="34" spans="1:19" s="94" customFormat="1" x14ac:dyDescent="0.3">
      <c r="A34" s="302"/>
      <c r="B34" s="217" t="s">
        <v>63</v>
      </c>
      <c r="C34" s="182"/>
      <c r="D34" s="216">
        <f>'Excel Output'!D24</f>
        <v>300</v>
      </c>
      <c r="E34" s="95"/>
      <c r="F34" s="216">
        <f>D34</f>
        <v>300</v>
      </c>
      <c r="G34" s="708"/>
      <c r="H34" s="610">
        <f>'Initial Screens'!$E$18</f>
        <v>0</v>
      </c>
      <c r="I34" s="95"/>
      <c r="L34" s="765" t="s">
        <v>760</v>
      </c>
      <c r="M34" s="766" t="s">
        <v>753</v>
      </c>
      <c r="N34" s="767">
        <v>0.5</v>
      </c>
      <c r="O34" s="772">
        <v>1</v>
      </c>
      <c r="P34" s="888">
        <v>0.3</v>
      </c>
      <c r="Q34" s="889">
        <v>0.40909090909090901</v>
      </c>
      <c r="R34" s="892">
        <v>0.3125</v>
      </c>
      <c r="S34" s="895">
        <v>0.40909090909090901</v>
      </c>
    </row>
    <row r="35" spans="1:19" s="94" customFormat="1" x14ac:dyDescent="0.3">
      <c r="A35" s="302"/>
      <c r="B35" s="215" t="s">
        <v>65</v>
      </c>
      <c r="C35" s="182"/>
      <c r="D35" s="702">
        <v>2</v>
      </c>
      <c r="E35" s="95"/>
      <c r="F35" s="216">
        <f t="shared" ref="F35:F37" si="0">D35</f>
        <v>2</v>
      </c>
      <c r="H35" s="379" t="s">
        <v>255</v>
      </c>
      <c r="I35" s="95"/>
      <c r="J35" s="195" t="s">
        <v>498</v>
      </c>
      <c r="L35" s="768" t="s">
        <v>760</v>
      </c>
      <c r="M35" s="709" t="s">
        <v>754</v>
      </c>
      <c r="N35" s="491">
        <v>0</v>
      </c>
      <c r="O35" s="773">
        <v>1</v>
      </c>
      <c r="P35" s="888"/>
      <c r="Q35" s="890"/>
      <c r="R35" s="893"/>
      <c r="S35" s="895"/>
    </row>
    <row r="36" spans="1:19" s="94" customFormat="1" x14ac:dyDescent="0.3">
      <c r="A36" s="302"/>
      <c r="B36" s="215" t="s">
        <v>67</v>
      </c>
      <c r="C36" s="182"/>
      <c r="D36" s="702">
        <v>4</v>
      </c>
      <c r="E36" s="95"/>
      <c r="F36" s="216">
        <f t="shared" si="0"/>
        <v>4</v>
      </c>
      <c r="H36" s="379" t="s">
        <v>255</v>
      </c>
      <c r="I36" s="95"/>
      <c r="J36" s="195" t="s">
        <v>498</v>
      </c>
      <c r="L36" s="768" t="s">
        <v>760</v>
      </c>
      <c r="M36" s="709" t="s">
        <v>267</v>
      </c>
      <c r="N36" s="491">
        <v>0</v>
      </c>
      <c r="O36" s="773">
        <v>1</v>
      </c>
      <c r="P36" s="888"/>
      <c r="Q36" s="890"/>
      <c r="R36" s="893"/>
      <c r="S36" s="895"/>
    </row>
    <row r="37" spans="1:19" s="94" customFormat="1" ht="16.2" thickBot="1" x14ac:dyDescent="0.35">
      <c r="A37" s="302"/>
      <c r="B37" s="215" t="s">
        <v>68</v>
      </c>
      <c r="C37" s="182"/>
      <c r="D37" s="702">
        <v>4</v>
      </c>
      <c r="E37" s="95"/>
      <c r="F37" s="216">
        <f t="shared" si="0"/>
        <v>4</v>
      </c>
      <c r="H37" s="379" t="s">
        <v>255</v>
      </c>
      <c r="I37" s="95"/>
      <c r="J37" s="195" t="s">
        <v>498</v>
      </c>
      <c r="L37" s="769" t="s">
        <v>760</v>
      </c>
      <c r="M37" s="770" t="s">
        <v>268</v>
      </c>
      <c r="N37" s="771">
        <v>0</v>
      </c>
      <c r="O37" s="774">
        <v>1</v>
      </c>
      <c r="P37" s="888"/>
      <c r="Q37" s="891"/>
      <c r="R37" s="894"/>
      <c r="S37" s="895"/>
    </row>
    <row r="38" spans="1:19" s="94" customFormat="1" x14ac:dyDescent="0.3">
      <c r="A38" s="302"/>
      <c r="B38" s="75" t="s">
        <v>69</v>
      </c>
      <c r="C38" s="95"/>
      <c r="D38" s="95"/>
      <c r="L38" s="765" t="s">
        <v>760</v>
      </c>
      <c r="M38" s="766" t="s">
        <v>753</v>
      </c>
      <c r="N38" s="767">
        <v>0</v>
      </c>
      <c r="O38" s="772">
        <v>1</v>
      </c>
      <c r="P38" s="888">
        <v>0.3</v>
      </c>
      <c r="Q38" s="889">
        <v>0.45873786407766981</v>
      </c>
      <c r="R38" s="892">
        <v>0.35</v>
      </c>
      <c r="S38" s="895">
        <v>0.45873786407766981</v>
      </c>
    </row>
    <row r="39" spans="1:19" s="94" customFormat="1" x14ac:dyDescent="0.3">
      <c r="A39" s="302"/>
      <c r="B39" s="215" t="s">
        <v>70</v>
      </c>
      <c r="C39" s="182"/>
      <c r="D39" s="216">
        <f>F6</f>
        <v>400</v>
      </c>
      <c r="H39" s="501">
        <f>'Initial Screens'!$E$17</f>
        <v>0</v>
      </c>
      <c r="L39" s="768" t="s">
        <v>760</v>
      </c>
      <c r="M39" s="709" t="s">
        <v>754</v>
      </c>
      <c r="N39" s="491">
        <v>0.5</v>
      </c>
      <c r="O39" s="773">
        <v>1</v>
      </c>
      <c r="P39" s="888"/>
      <c r="Q39" s="890"/>
      <c r="R39" s="893"/>
      <c r="S39" s="895"/>
    </row>
    <row r="40" spans="1:19" s="94" customFormat="1" x14ac:dyDescent="0.3">
      <c r="A40" s="302"/>
      <c r="B40" s="215" t="s">
        <v>71</v>
      </c>
      <c r="C40" s="182"/>
      <c r="D40" s="702">
        <f>ROUND(2,0)</f>
        <v>2</v>
      </c>
      <c r="E40" s="95"/>
      <c r="F40" s="264">
        <v>2</v>
      </c>
      <c r="G40" s="94">
        <f>48-F41</f>
        <v>0</v>
      </c>
      <c r="H40" s="379" t="s">
        <v>255</v>
      </c>
      <c r="I40" s="130"/>
      <c r="L40" s="768" t="s">
        <v>760</v>
      </c>
      <c r="M40" s="709" t="s">
        <v>267</v>
      </c>
      <c r="N40" s="491">
        <v>0</v>
      </c>
      <c r="O40" s="773">
        <v>1</v>
      </c>
      <c r="P40" s="888"/>
      <c r="Q40" s="890"/>
      <c r="R40" s="893"/>
      <c r="S40" s="895"/>
    </row>
    <row r="41" spans="1:19" s="94" customFormat="1" ht="16.2" thickBot="1" x14ac:dyDescent="0.35">
      <c r="A41" s="302"/>
      <c r="B41" s="215" t="s">
        <v>166</v>
      </c>
      <c r="C41" s="182"/>
      <c r="D41" s="702">
        <v>36</v>
      </c>
      <c r="E41" s="95"/>
      <c r="F41" s="718">
        <f>IF('Initial Screens'!$C$13="VCF",MAX(48,D41),D41)+12</f>
        <v>48</v>
      </c>
      <c r="G41" s="708"/>
      <c r="H41" s="379" t="s">
        <v>255</v>
      </c>
      <c r="J41" s="195" t="s">
        <v>498</v>
      </c>
      <c r="L41" s="769" t="s">
        <v>760</v>
      </c>
      <c r="M41" s="770" t="s">
        <v>268</v>
      </c>
      <c r="N41" s="771">
        <v>0</v>
      </c>
      <c r="O41" s="774">
        <v>1</v>
      </c>
      <c r="P41" s="888"/>
      <c r="Q41" s="891"/>
      <c r="R41" s="894"/>
      <c r="S41" s="895"/>
    </row>
    <row r="42" spans="1:19" s="94" customFormat="1" x14ac:dyDescent="0.3">
      <c r="A42" s="302"/>
      <c r="B42" s="215" t="s">
        <v>167</v>
      </c>
      <c r="C42" s="182"/>
      <c r="D42" s="702">
        <f>ROUND(768,0)</f>
        <v>768</v>
      </c>
      <c r="E42" s="95"/>
      <c r="F42" s="718">
        <f>IF(ISNUMBER(SEARCH("VCF",'Initial Screens'!$C$13)),MAX(1024,D42),D42)</f>
        <v>1024</v>
      </c>
      <c r="G42" s="764"/>
      <c r="H42" s="379" t="s">
        <v>255</v>
      </c>
      <c r="J42" s="195" t="s">
        <v>498</v>
      </c>
    </row>
    <row r="43" spans="1:19" s="94" customFormat="1" x14ac:dyDescent="0.3">
      <c r="A43" s="302"/>
      <c r="B43" s="215" t="s">
        <v>72</v>
      </c>
      <c r="C43" s="182"/>
      <c r="D43" s="703">
        <v>0.2</v>
      </c>
      <c r="E43" s="707"/>
      <c r="F43" s="719">
        <f>IF(ISNUMBER(SEARCH("VCF",'Initial Screens'!$C$13)),D43+(50%-D43)/(2+IF('Excel Output'!E27=0,2,0)+IF('Excel Output'!E29=0,2,0))*SUM(Misc!E136,Misc!E138)/2*(1+D29),D43+1%)</f>
        <v>0.38</v>
      </c>
      <c r="G43" s="764"/>
      <c r="H43" s="379" t="s">
        <v>255</v>
      </c>
      <c r="J43" s="195" t="s">
        <v>498</v>
      </c>
    </row>
    <row r="44" spans="1:19" s="94" customFormat="1" x14ac:dyDescent="0.3">
      <c r="A44" s="302"/>
      <c r="B44" s="215" t="s">
        <v>73</v>
      </c>
      <c r="C44" s="182"/>
      <c r="D44" s="703">
        <v>0.35</v>
      </c>
      <c r="E44" s="707"/>
      <c r="F44" s="218">
        <f>D44*D42*D39*(1-F14)/F17/F42*(1+D30)</f>
        <v>0.69388111888111881</v>
      </c>
      <c r="G44" s="219" t="str">
        <f>IF(F44&gt;80%,"Decrease CPU Utilization","")</f>
        <v/>
      </c>
      <c r="H44" s="379" t="s">
        <v>255</v>
      </c>
      <c r="J44" s="195" t="s">
        <v>498</v>
      </c>
    </row>
    <row r="45" spans="1:19" s="94" customFormat="1" x14ac:dyDescent="0.3">
      <c r="A45" s="302"/>
      <c r="C45" s="95"/>
      <c r="E45" s="220"/>
      <c r="G45" s="105" t="s">
        <v>233</v>
      </c>
    </row>
    <row r="46" spans="1:19" s="94" customFormat="1" x14ac:dyDescent="0.3">
      <c r="A46" s="302"/>
      <c r="B46" s="221" t="s">
        <v>192</v>
      </c>
      <c r="C46" s="182"/>
      <c r="D46" s="182"/>
      <c r="E46" s="222"/>
      <c r="F46" s="184">
        <f>ROUNDUP(F33/(D33/D39*F41/D41*F43/D43),0)</f>
        <v>143</v>
      </c>
      <c r="G46" s="785"/>
      <c r="H46" s="500" t="s">
        <v>8</v>
      </c>
    </row>
    <row r="47" spans="1:19" s="94" customFormat="1" x14ac:dyDescent="0.3">
      <c r="A47" s="302"/>
      <c r="B47" s="223" t="s">
        <v>74</v>
      </c>
      <c r="C47" s="182"/>
      <c r="D47" s="182"/>
      <c r="E47" s="222"/>
      <c r="F47" s="224">
        <f>(D39-F46)/D39</f>
        <v>0.64249999999999996</v>
      </c>
      <c r="H47" s="500" t="s">
        <v>8</v>
      </c>
    </row>
    <row r="48" spans="1:19" s="94" customFormat="1" ht="16.2" thickBot="1" x14ac:dyDescent="0.35">
      <c r="A48" s="302"/>
      <c r="B48" s="50"/>
      <c r="D48" s="225"/>
      <c r="E48" s="225"/>
      <c r="F48" s="225"/>
      <c r="K48" s="226"/>
    </row>
    <row r="49" spans="1:19" ht="16.2" thickBot="1" x14ac:dyDescent="0.35">
      <c r="A49" s="302" t="str">
        <f>IF('Initial Screens'!$C$13="VVF","Hide","Show")</f>
        <v>Show</v>
      </c>
      <c r="B49" s="886" t="s">
        <v>75</v>
      </c>
      <c r="C49" s="887"/>
      <c r="D49" s="887"/>
      <c r="E49" s="887"/>
      <c r="F49" s="207"/>
      <c r="G49" s="98"/>
      <c r="H49" s="208"/>
      <c r="I49" s="96"/>
      <c r="J49" s="96"/>
      <c r="K49" s="96"/>
      <c r="L49" s="96"/>
      <c r="M49" s="96"/>
      <c r="N49" s="96"/>
      <c r="O49" s="96"/>
      <c r="P49" s="96"/>
      <c r="Q49" s="96"/>
      <c r="S49" s="97"/>
    </row>
    <row r="50" spans="1:19" s="150" customFormat="1" x14ac:dyDescent="0.3">
      <c r="A50" s="302" t="str">
        <f>IF('Initial Screens'!$C$13="VVF","Hide","Show")</f>
        <v>Show</v>
      </c>
      <c r="B50" s="75" t="s">
        <v>195</v>
      </c>
      <c r="C50" s="75"/>
      <c r="D50" s="75"/>
      <c r="E50" s="75"/>
      <c r="F50" s="75"/>
      <c r="J50" s="226"/>
    </row>
    <row r="51" spans="1:19" s="94" customFormat="1" x14ac:dyDescent="0.3">
      <c r="A51" s="302" t="str">
        <f>IF('Initial Screens'!$C$13="VVF","Hide","Show")</f>
        <v>Show</v>
      </c>
    </row>
    <row r="52" spans="1:19" s="142" customFormat="1" ht="31.2" x14ac:dyDescent="0.3">
      <c r="A52" s="302" t="str">
        <f>IF('Initial Screens'!$C$13="VVF","Hide","Show")</f>
        <v>Show</v>
      </c>
      <c r="B52" s="23" t="s">
        <v>76</v>
      </c>
      <c r="C52" s="131" t="s">
        <v>177</v>
      </c>
      <c r="D52" s="131" t="s">
        <v>77</v>
      </c>
      <c r="E52" s="131" t="s">
        <v>78</v>
      </c>
      <c r="F52" s="131" t="s">
        <v>234</v>
      </c>
      <c r="H52" s="156" t="s">
        <v>61</v>
      </c>
      <c r="I52" s="105"/>
    </row>
    <row r="53" spans="1:19" s="94" customFormat="1" x14ac:dyDescent="0.3">
      <c r="A53" s="302" t="str">
        <f>IF('Initial Screens'!$C$13="VVF","Hide","Show")</f>
        <v>Show</v>
      </c>
      <c r="B53" s="227" t="s">
        <v>79</v>
      </c>
      <c r="C53" s="228">
        <f>F40</f>
        <v>2</v>
      </c>
      <c r="D53" s="228">
        <f>F40</f>
        <v>2</v>
      </c>
      <c r="E53" s="228" t="s">
        <v>0</v>
      </c>
      <c r="F53" s="265">
        <v>5000</v>
      </c>
      <c r="G53" s="210"/>
      <c r="H53" s="381" t="s">
        <v>6</v>
      </c>
      <c r="J53" s="95"/>
    </row>
    <row r="54" spans="1:19" s="94" customFormat="1" x14ac:dyDescent="0.3">
      <c r="A54" s="302" t="str">
        <f>IF('Initial Screens'!$C$13="VVF","Hide","Show")</f>
        <v>Show</v>
      </c>
      <c r="B54" s="227" t="s">
        <v>80</v>
      </c>
      <c r="C54" s="230">
        <f>F42</f>
        <v>1024</v>
      </c>
      <c r="D54" s="229">
        <f>ROUND(C54/64,0)</f>
        <v>16</v>
      </c>
      <c r="E54" s="229" t="s">
        <v>81</v>
      </c>
      <c r="F54" s="248">
        <v>575</v>
      </c>
      <c r="G54" s="210"/>
      <c r="H54" s="381" t="s">
        <v>6</v>
      </c>
      <c r="J54" s="95"/>
    </row>
    <row r="55" spans="1:19" s="94" customFormat="1" x14ac:dyDescent="0.3">
      <c r="A55" s="302" t="str">
        <f>IF('Initial Screens'!$C$13="VVF","Hide","Show")</f>
        <v>Show</v>
      </c>
      <c r="B55" s="227" t="s">
        <v>82</v>
      </c>
      <c r="C55" s="266">
        <v>2000</v>
      </c>
      <c r="D55" s="231">
        <v>1</v>
      </c>
      <c r="E55" s="229" t="str">
        <f>FIXED(C55,0)&amp;" GB Disk"</f>
        <v>2,000 GB Disk</v>
      </c>
      <c r="F55" s="248">
        <f>ROUND(C55*0.3,0)</f>
        <v>600</v>
      </c>
      <c r="G55" s="210"/>
      <c r="H55" s="264" t="s">
        <v>461</v>
      </c>
      <c r="J55" s="95"/>
    </row>
    <row r="56" spans="1:19" s="94" customFormat="1" x14ac:dyDescent="0.3">
      <c r="A56" s="302" t="str">
        <f>IF('Initial Screens'!$C$13="VVF","Hide","Show")</f>
        <v>Show</v>
      </c>
      <c r="G56" s="210"/>
      <c r="J56" s="95"/>
    </row>
    <row r="57" spans="1:19" s="233" customFormat="1" x14ac:dyDescent="0.3">
      <c r="A57" s="302" t="str">
        <f>IF('Initial Screens'!$C$13="VVF","Hide","Show")</f>
        <v>Show</v>
      </c>
      <c r="K57" s="233" t="s">
        <v>1</v>
      </c>
      <c r="L57" s="94"/>
    </row>
    <row r="58" spans="1:19" s="94" customFormat="1" x14ac:dyDescent="0.3">
      <c r="A58" s="302" t="str">
        <f>IF('Initial Screens'!$C$13="VVF","Hide","Show")</f>
        <v>Show</v>
      </c>
      <c r="B58" s="23" t="s">
        <v>83</v>
      </c>
      <c r="G58" s="210"/>
      <c r="J58" s="95"/>
    </row>
    <row r="59" spans="1:19" s="94" customFormat="1" x14ac:dyDescent="0.3">
      <c r="A59" s="302" t="str">
        <f>IF('Initial Screens'!$C$13="VVF","Hide","Show")</f>
        <v>Show</v>
      </c>
      <c r="B59" s="215" t="s">
        <v>84</v>
      </c>
      <c r="C59" s="234"/>
      <c r="D59" s="239">
        <f>ROUND(1,0)</f>
        <v>1</v>
      </c>
      <c r="E59" s="229" t="s">
        <v>85</v>
      </c>
      <c r="F59" s="248">
        <v>4600</v>
      </c>
      <c r="G59" s="210"/>
      <c r="H59" s="381" t="s">
        <v>66</v>
      </c>
      <c r="J59" s="95"/>
    </row>
    <row r="60" spans="1:19" s="94" customFormat="1" x14ac:dyDescent="0.3">
      <c r="A60" s="302" t="str">
        <f>IF('Initial Screens'!$C$13="VVF","Hide","Show")</f>
        <v>Show</v>
      </c>
      <c r="B60" s="215" t="s">
        <v>86</v>
      </c>
      <c r="C60" s="234"/>
      <c r="D60" s="239">
        <f>ROUND(1,0)</f>
        <v>1</v>
      </c>
      <c r="E60" s="229" t="s">
        <v>87</v>
      </c>
      <c r="F60" s="248">
        <v>600</v>
      </c>
      <c r="G60" s="210"/>
      <c r="H60" s="381" t="s">
        <v>66</v>
      </c>
      <c r="J60" s="95"/>
    </row>
    <row r="61" spans="1:19" s="94" customFormat="1" x14ac:dyDescent="0.3">
      <c r="A61" s="302" t="str">
        <f>IF('Initial Screens'!$C$13="VVF","Hide","Show")</f>
        <v>Show</v>
      </c>
      <c r="B61" s="215" t="s">
        <v>88</v>
      </c>
      <c r="C61" s="234"/>
      <c r="D61" s="266">
        <f>ROUND(0,0)</f>
        <v>0</v>
      </c>
      <c r="F61" s="248">
        <v>0</v>
      </c>
      <c r="G61" s="210"/>
      <c r="H61" s="381" t="s">
        <v>89</v>
      </c>
      <c r="J61" s="95"/>
    </row>
    <row r="62" spans="1:19" s="94" customFormat="1" x14ac:dyDescent="0.3">
      <c r="A62" s="302" t="str">
        <f>IF('Initial Screens'!$C$13="VVF","Hide","Show")</f>
        <v>Show</v>
      </c>
      <c r="G62" s="210"/>
      <c r="J62" s="95"/>
    </row>
    <row r="63" spans="1:19" s="94" customFormat="1" x14ac:dyDescent="0.3">
      <c r="A63" s="302" t="str">
        <f>IF('Initial Screens'!$C$13="VVF","Hide","Show")</f>
        <v>Show</v>
      </c>
      <c r="B63" s="227" t="s">
        <v>90</v>
      </c>
      <c r="C63" s="235">
        <f>SUMPRODUCT(D53:D55,F53:F55)+SUMPRODUCT(D59:D61,F59:F61)</f>
        <v>25000</v>
      </c>
      <c r="D63" s="513"/>
      <c r="G63" s="210"/>
      <c r="H63" s="500" t="s">
        <v>8</v>
      </c>
      <c r="J63" s="95"/>
      <c r="M63" s="129"/>
      <c r="N63" s="129"/>
      <c r="O63" s="129"/>
    </row>
    <row r="64" spans="1:19" s="94" customFormat="1" x14ac:dyDescent="0.3">
      <c r="A64" s="302" t="str">
        <f>IF('Initial Screens'!$C$13="VVF","Hide","Show")</f>
        <v>Show</v>
      </c>
      <c r="B64" s="227" t="s">
        <v>91</v>
      </c>
      <c r="C64" s="267">
        <v>0</v>
      </c>
      <c r="G64" s="210"/>
      <c r="H64" s="381" t="s">
        <v>66</v>
      </c>
      <c r="J64" s="95"/>
    </row>
    <row r="65" spans="1:20" s="94" customFormat="1" x14ac:dyDescent="0.3">
      <c r="A65" s="302" t="str">
        <f>IF('Initial Screens'!$C$13="VVF","Hide","Show")</f>
        <v>Show</v>
      </c>
      <c r="B65" s="227" t="s">
        <v>92</v>
      </c>
      <c r="C65" s="235">
        <f>ROUNDUP(C63*(1-C64),0)</f>
        <v>25000</v>
      </c>
      <c r="G65" s="210"/>
      <c r="H65" s="500" t="s">
        <v>8</v>
      </c>
      <c r="J65" s="95"/>
      <c r="M65" s="236"/>
      <c r="N65" s="236"/>
      <c r="O65" s="236"/>
    </row>
    <row r="66" spans="1:20" s="94" customFormat="1" x14ac:dyDescent="0.3">
      <c r="A66" s="302"/>
      <c r="B66" s="50"/>
      <c r="C66" s="129"/>
      <c r="D66" s="129"/>
      <c r="E66" s="129"/>
      <c r="M66" s="237"/>
      <c r="N66" s="237"/>
    </row>
    <row r="67" spans="1:20" x14ac:dyDescent="0.3">
      <c r="A67" s="882"/>
      <c r="B67" s="882"/>
      <c r="C67" s="882"/>
      <c r="D67" s="882"/>
      <c r="E67" s="882"/>
      <c r="F67" s="882"/>
      <c r="G67" s="95"/>
      <c r="H67" s="95"/>
      <c r="M67" s="99"/>
      <c r="N67" s="99"/>
      <c r="P67" s="96"/>
      <c r="Q67" s="100"/>
      <c r="R67" s="195"/>
      <c r="S67" s="95"/>
      <c r="T67" s="95"/>
    </row>
    <row r="68" spans="1:20" s="2" customFormat="1" x14ac:dyDescent="0.3">
      <c r="A68" s="302"/>
      <c r="B68" s="95" t="s">
        <v>652</v>
      </c>
      <c r="C68" s="554"/>
      <c r="D68" s="553" t="str">
        <f>IF(C68="",IF('Initial Screens'!C13="VCF","No","Yes"),C68)</f>
        <v>Yes</v>
      </c>
      <c r="F68"/>
      <c r="G68" s="56"/>
      <c r="H68" s="56" t="s">
        <v>422</v>
      </c>
      <c r="M68" s="16"/>
      <c r="N68" s="16"/>
      <c r="O68" s="13"/>
      <c r="P68" s="16"/>
      <c r="Q68" s="17"/>
      <c r="R68" s="56"/>
    </row>
    <row r="69" spans="1:20" ht="16.2" thickBot="1" x14ac:dyDescent="0.35">
      <c r="F69" s="95"/>
      <c r="G69" s="95"/>
      <c r="H69" s="95"/>
      <c r="M69" s="99"/>
      <c r="N69" s="99"/>
      <c r="P69" s="96"/>
      <c r="Q69" s="100"/>
      <c r="R69" s="195"/>
      <c r="S69" s="95"/>
      <c r="T69" s="95"/>
    </row>
    <row r="70" spans="1:20" ht="16.2" thickBot="1" x14ac:dyDescent="0.35">
      <c r="B70" s="886" t="s">
        <v>639</v>
      </c>
      <c r="C70" s="887"/>
      <c r="D70" s="887"/>
      <c r="E70" s="887"/>
      <c r="F70" s="207"/>
      <c r="G70" s="95"/>
      <c r="H70" s="463"/>
      <c r="I70" s="96"/>
      <c r="J70" s="96"/>
      <c r="K70" s="96"/>
      <c r="L70" s="96"/>
      <c r="M70" s="96"/>
      <c r="N70" s="96"/>
      <c r="O70" s="96"/>
      <c r="P70" s="96"/>
      <c r="Q70" s="96"/>
      <c r="S70" s="97"/>
    </row>
    <row r="71" spans="1:20" ht="16.2" thickBot="1" x14ac:dyDescent="0.35">
      <c r="F71" s="212"/>
      <c r="G71" s="98"/>
      <c r="H71" s="213"/>
      <c r="I71" s="96"/>
      <c r="J71" s="96"/>
      <c r="K71" s="96"/>
      <c r="L71" s="96"/>
      <c r="M71" s="96"/>
      <c r="N71" s="96"/>
      <c r="O71" s="96"/>
      <c r="P71" s="96"/>
      <c r="Q71" s="96"/>
    </row>
    <row r="72" spans="1:20" ht="20.25" customHeight="1" thickBot="1" x14ac:dyDescent="0.35">
      <c r="B72" s="5" t="s">
        <v>12</v>
      </c>
      <c r="C72" s="6"/>
      <c r="D72" s="6"/>
      <c r="E72" s="6"/>
      <c r="F72" s="72"/>
      <c r="G72" s="98"/>
      <c r="H72" s="178" t="s">
        <v>2</v>
      </c>
      <c r="I72" s="195"/>
      <c r="K72" s="100"/>
      <c r="L72" s="100"/>
      <c r="M72" s="100"/>
      <c r="N72" s="100"/>
      <c r="O72" s="100"/>
      <c r="P72" s="100"/>
      <c r="Q72" s="100"/>
      <c r="R72" s="100"/>
    </row>
    <row r="73" spans="1:20" ht="20.25" customHeight="1" thickBot="1" x14ac:dyDescent="0.35">
      <c r="B73" s="7" t="s">
        <v>640</v>
      </c>
      <c r="C73" s="50"/>
      <c r="D73" s="50"/>
      <c r="E73" s="8"/>
      <c r="F73" s="603">
        <v>0</v>
      </c>
      <c r="G73" s="465" t="s">
        <v>751</v>
      </c>
      <c r="H73" s="568"/>
      <c r="I73" s="195"/>
      <c r="K73" s="100"/>
      <c r="L73" s="100"/>
      <c r="M73" s="100"/>
      <c r="N73" s="100"/>
      <c r="O73" s="100"/>
      <c r="P73" s="100"/>
      <c r="Q73" s="100"/>
      <c r="R73" s="100"/>
    </row>
    <row r="74" spans="1:20" ht="20.25" customHeight="1" thickBot="1" x14ac:dyDescent="0.35">
      <c r="B74" s="7" t="s">
        <v>642</v>
      </c>
      <c r="C74" s="50"/>
      <c r="D74" s="50"/>
      <c r="E74" s="67"/>
      <c r="F74" s="166">
        <v>5000</v>
      </c>
      <c r="G74" s="98"/>
      <c r="H74" s="379" t="s">
        <v>255</v>
      </c>
      <c r="I74" s="195"/>
    </row>
    <row r="75" spans="1:20" ht="20.25" customHeight="1" thickBot="1" x14ac:dyDescent="0.35">
      <c r="B75" s="7" t="s">
        <v>641</v>
      </c>
      <c r="C75" s="50"/>
      <c r="D75" s="50"/>
      <c r="E75" s="67"/>
      <c r="F75" s="183">
        <v>0.15</v>
      </c>
      <c r="G75" s="98"/>
      <c r="H75" s="379" t="s">
        <v>255</v>
      </c>
      <c r="I75" s="195"/>
    </row>
    <row r="76" spans="1:20" ht="20.25" customHeight="1" thickBot="1" x14ac:dyDescent="0.35">
      <c r="B76" s="91" t="str">
        <f>FIXED(AnalysisTerm,0)&amp;"-Year Current State Cost"</f>
        <v>10-Year Current State Cost</v>
      </c>
      <c r="C76" s="92"/>
      <c r="D76" s="92"/>
      <c r="E76" s="93"/>
      <c r="F76" s="102">
        <f>IF(D68="Yes",F73*F74*(1+AnalysisTerm*F75),0)</f>
        <v>0</v>
      </c>
      <c r="G76" s="98"/>
      <c r="H76" s="499" t="s">
        <v>8</v>
      </c>
      <c r="I76" s="195"/>
    </row>
    <row r="77" spans="1:20" ht="20.25" customHeight="1" thickBot="1" x14ac:dyDescent="0.35">
      <c r="B77" s="74" t="s">
        <v>13</v>
      </c>
      <c r="C77" s="152"/>
      <c r="D77" s="75"/>
      <c r="E77" s="67"/>
      <c r="F77" s="12"/>
      <c r="G77" s="98"/>
      <c r="H77" s="73"/>
      <c r="I77" s="73"/>
    </row>
    <row r="78" spans="1:20" ht="20.25" customHeight="1" thickBot="1" x14ac:dyDescent="0.35">
      <c r="B78" s="155" t="s">
        <v>645</v>
      </c>
      <c r="C78" s="50"/>
      <c r="D78" s="50"/>
      <c r="E78" s="67"/>
      <c r="F78" s="605">
        <f>F73</f>
        <v>0</v>
      </c>
      <c r="G78" s="98"/>
      <c r="H78" s="365" t="s">
        <v>646</v>
      </c>
      <c r="I78" s="195"/>
    </row>
    <row r="79" spans="1:20" ht="20.25" customHeight="1" thickBot="1" x14ac:dyDescent="0.35">
      <c r="B79" s="524" t="s">
        <v>643</v>
      </c>
      <c r="C79" s="172"/>
      <c r="D79" s="172"/>
      <c r="E79" s="176"/>
      <c r="F79" s="607">
        <f>F18</f>
        <v>31.46853146853147</v>
      </c>
      <c r="G79" s="98"/>
      <c r="H79" s="363" t="s">
        <v>6</v>
      </c>
      <c r="I79" s="195"/>
    </row>
    <row r="80" spans="1:20" ht="20.25" customHeight="1" thickBot="1" x14ac:dyDescent="0.35">
      <c r="A80" s="714" t="str">
        <f>IF('Initial Screens'!$C$13="VVF","Hide","Show")</f>
        <v>Show</v>
      </c>
      <c r="B80" s="524" t="s">
        <v>644</v>
      </c>
      <c r="C80" s="50"/>
      <c r="D80" s="50"/>
      <c r="E80" s="8"/>
      <c r="F80" s="183">
        <f>F16</f>
        <v>1</v>
      </c>
      <c r="G80" s="98"/>
      <c r="H80" s="363" t="s">
        <v>649</v>
      </c>
      <c r="I80" s="195"/>
      <c r="K80" s="100"/>
      <c r="L80" s="100"/>
      <c r="M80" s="100"/>
      <c r="N80" s="100"/>
      <c r="O80" s="100"/>
      <c r="P80" s="100"/>
      <c r="Q80" s="100"/>
      <c r="R80" s="100"/>
    </row>
    <row r="81" spans="1:20" ht="20.25" customHeight="1" thickBot="1" x14ac:dyDescent="0.35">
      <c r="A81" s="714" t="str">
        <f>IF(OR($F$80=0%,'Initial Screens'!$C$13="VVF"),"Hide","Show")</f>
        <v>Show</v>
      </c>
      <c r="B81" s="7" t="s">
        <v>48</v>
      </c>
      <c r="C81" s="172"/>
      <c r="D81" s="172"/>
      <c r="E81" s="176"/>
      <c r="F81" s="89">
        <f>ROUND(F78/F79*F80,0)</f>
        <v>0</v>
      </c>
      <c r="G81" s="98"/>
      <c r="H81" s="503" t="s">
        <v>8</v>
      </c>
      <c r="I81" s="195"/>
    </row>
    <row r="82" spans="1:20" ht="20.25" customHeight="1" thickBot="1" x14ac:dyDescent="0.35">
      <c r="B82" s="7" t="s">
        <v>49</v>
      </c>
      <c r="C82" s="172"/>
      <c r="D82" s="172"/>
      <c r="E82" s="176"/>
      <c r="F82" s="89">
        <f>ROUND(F78/F79-F81,0)</f>
        <v>0</v>
      </c>
      <c r="G82" s="98"/>
      <c r="H82" s="503" t="s">
        <v>8</v>
      </c>
      <c r="I82" s="195"/>
    </row>
    <row r="83" spans="1:20" ht="20.25" customHeight="1" thickBot="1" x14ac:dyDescent="0.35">
      <c r="A83" s="714" t="str">
        <f>IF(OR($F$80=0%,'Initial Screens'!$C$13="VVF"),"Hide","Show")</f>
        <v>Show</v>
      </c>
      <c r="B83" s="7" t="s">
        <v>650</v>
      </c>
      <c r="C83" s="50"/>
      <c r="D83" s="50"/>
      <c r="E83" s="176"/>
      <c r="F83" s="606">
        <f>F21</f>
        <v>25000</v>
      </c>
      <c r="G83" s="98"/>
      <c r="H83" s="604" t="s">
        <v>647</v>
      </c>
      <c r="I83" s="195"/>
    </row>
    <row r="84" spans="1:20" ht="20.25" customHeight="1" thickBot="1" x14ac:dyDescent="0.35">
      <c r="B84" s="7" t="s">
        <v>651</v>
      </c>
      <c r="C84" s="50"/>
      <c r="D84" s="50"/>
      <c r="E84" s="176"/>
      <c r="F84" s="606">
        <f>F22</f>
        <v>0</v>
      </c>
      <c r="G84" s="98"/>
      <c r="H84" s="504" t="s">
        <v>648</v>
      </c>
      <c r="I84" s="195"/>
    </row>
    <row r="85" spans="1:20" ht="20.25" customHeight="1" thickBot="1" x14ac:dyDescent="0.35">
      <c r="B85" s="7" t="s">
        <v>212</v>
      </c>
      <c r="C85" s="50"/>
      <c r="D85" s="50"/>
      <c r="E85" s="67"/>
      <c r="F85" s="183">
        <v>0.15</v>
      </c>
      <c r="G85" s="98"/>
      <c r="H85" s="380" t="s">
        <v>6</v>
      </c>
      <c r="I85" s="195"/>
    </row>
    <row r="86" spans="1:20" ht="20.25" customHeight="1" thickBot="1" x14ac:dyDescent="0.35">
      <c r="B86" s="91" t="str">
        <f>FIXED(AnalysisTerm,0)&amp;"-Year Future State Cost"</f>
        <v>10-Year Future State Cost</v>
      </c>
      <c r="C86" s="92"/>
      <c r="D86" s="92"/>
      <c r="E86" s="93"/>
      <c r="F86" s="102">
        <f>IF(D68="Yes",(F81*F83+F82*F84)*(1+AnalysisTerm*F85),0)</f>
        <v>0</v>
      </c>
      <c r="G86" s="98"/>
      <c r="H86" s="499" t="s">
        <v>8</v>
      </c>
      <c r="I86" s="195"/>
    </row>
    <row r="87" spans="1:20" ht="20.25" customHeight="1" x14ac:dyDescent="0.3">
      <c r="F87" s="96"/>
      <c r="G87" s="98"/>
      <c r="H87" s="95"/>
      <c r="I87" s="195"/>
    </row>
    <row r="88" spans="1:20" ht="16.2" thickBot="1" x14ac:dyDescent="0.35">
      <c r="A88" s="882"/>
      <c r="B88" s="882"/>
      <c r="C88" s="882"/>
      <c r="D88" s="882"/>
      <c r="E88" s="882"/>
      <c r="F88" s="882"/>
      <c r="G88" s="95"/>
      <c r="H88" s="95"/>
      <c r="M88" s="99"/>
      <c r="N88" s="99"/>
      <c r="P88" s="96"/>
      <c r="Q88" s="100"/>
      <c r="R88" s="195"/>
      <c r="S88" s="95"/>
      <c r="T88" s="95"/>
    </row>
    <row r="89" spans="1:20" ht="16.2" thickBot="1" x14ac:dyDescent="0.35">
      <c r="A89" s="302" t="str">
        <f>IF('Initial Screens'!$D$29="Yes","Show","Hide")</f>
        <v>Hide</v>
      </c>
      <c r="B89" s="883" t="s">
        <v>562</v>
      </c>
      <c r="C89" s="884"/>
      <c r="D89" s="884"/>
      <c r="E89" s="884"/>
      <c r="F89" s="885"/>
      <c r="G89" s="286"/>
      <c r="H89" s="2"/>
      <c r="M89" s="99"/>
      <c r="N89" s="99"/>
      <c r="P89" s="96"/>
      <c r="Q89" s="100"/>
      <c r="R89" s="195"/>
      <c r="S89" s="95"/>
      <c r="T89" s="95"/>
    </row>
    <row r="90" spans="1:20" ht="16.2" thickBot="1" x14ac:dyDescent="0.35">
      <c r="A90" s="302" t="str">
        <f>IF('Initial Screens'!$D$29="Yes","Show","Hide")</f>
        <v>Hide</v>
      </c>
      <c r="B90" s="522" t="s">
        <v>12</v>
      </c>
      <c r="C90" s="94"/>
      <c r="D90" s="94"/>
      <c r="E90" s="94"/>
      <c r="F90" s="537" t="s">
        <v>7</v>
      </c>
      <c r="G90" s="523"/>
      <c r="H90" s="11" t="s">
        <v>2</v>
      </c>
      <c r="M90" s="99"/>
      <c r="N90" s="99"/>
      <c r="P90" s="96"/>
      <c r="Q90" s="100"/>
      <c r="R90" s="195"/>
      <c r="S90" s="95"/>
      <c r="T90" s="95"/>
    </row>
    <row r="91" spans="1:20" ht="16.2" thickBot="1" x14ac:dyDescent="0.35">
      <c r="A91" s="302" t="str">
        <f>IF('Initial Screens'!$D$29="Yes","Show","Hide")</f>
        <v>Hide</v>
      </c>
      <c r="B91" s="524" t="s">
        <v>571</v>
      </c>
      <c r="C91" s="528"/>
      <c r="D91" s="526"/>
      <c r="E91" s="527"/>
      <c r="F91" s="187">
        <f>(ROUND(F6*(1-F8),0)*F9+ROUND(F6*F8,0)*F10)</f>
        <v>10000000</v>
      </c>
      <c r="G91" s="95"/>
      <c r="H91" s="538" t="s">
        <v>227</v>
      </c>
      <c r="M91" s="99"/>
      <c r="N91" s="99"/>
      <c r="P91" s="96"/>
      <c r="Q91" s="100"/>
      <c r="R91" s="195"/>
      <c r="S91" s="95"/>
      <c r="T91" s="95"/>
    </row>
    <row r="92" spans="1:20" ht="16.2" thickBot="1" x14ac:dyDescent="0.35">
      <c r="A92" s="302" t="str">
        <f>IF('Initial Screens'!$D$29="Yes","Show","Hide")</f>
        <v>Hide</v>
      </c>
      <c r="B92" s="524" t="s">
        <v>572</v>
      </c>
      <c r="C92" s="528"/>
      <c r="D92" s="526"/>
      <c r="E92" s="527"/>
      <c r="F92" s="187">
        <f>ROUND(Storage!F11*Storage!F12*Storage!F14+Storage!F11*(1-Storage!F12)*Storage!F13+Storage!F19,0)</f>
        <v>4785714</v>
      </c>
      <c r="G92" s="529"/>
      <c r="H92" s="538" t="s">
        <v>564</v>
      </c>
      <c r="M92" s="99"/>
      <c r="N92" s="99"/>
      <c r="P92" s="96"/>
      <c r="Q92" s="100"/>
      <c r="R92" s="195"/>
      <c r="S92" s="95"/>
      <c r="T92" s="95"/>
    </row>
    <row r="93" spans="1:20" ht="16.2" thickBot="1" x14ac:dyDescent="0.35">
      <c r="A93" s="302" t="str">
        <f>IF('Initial Screens'!$D$29="Yes","Show","Hide")</f>
        <v>Hide</v>
      </c>
      <c r="B93" s="524" t="s">
        <v>573</v>
      </c>
      <c r="C93" s="528"/>
      <c r="D93" s="526"/>
      <c r="E93" s="527"/>
      <c r="F93" s="187">
        <f>ROUND(Network!F5*Network!F6*Network!F8,0)</f>
        <v>1000000</v>
      </c>
      <c r="G93" s="529"/>
      <c r="H93" s="538" t="s">
        <v>565</v>
      </c>
      <c r="M93" s="99"/>
      <c r="N93" s="99"/>
      <c r="P93" s="96"/>
      <c r="Q93" s="100"/>
      <c r="R93" s="195"/>
      <c r="S93" s="95"/>
      <c r="T93" s="95"/>
    </row>
    <row r="94" spans="1:20" ht="16.2" thickBot="1" x14ac:dyDescent="0.35">
      <c r="A94" s="302" t="str">
        <f>IF('Initial Screens'!$D$29="Yes","Show","Hide")</f>
        <v>Hide</v>
      </c>
      <c r="B94" s="524" t="s">
        <v>566</v>
      </c>
      <c r="C94" s="525"/>
      <c r="D94" s="526"/>
      <c r="E94" s="527"/>
      <c r="F94" s="87">
        <f>IF('Initial Screens'!$D$29="Yes",80%,0)</f>
        <v>0</v>
      </c>
      <c r="G94" s="523"/>
      <c r="H94" s="381" t="s">
        <v>66</v>
      </c>
      <c r="M94" s="99"/>
      <c r="N94" s="99"/>
      <c r="P94" s="96"/>
      <c r="Q94" s="100"/>
      <c r="R94" s="195"/>
      <c r="S94" s="95"/>
      <c r="T94" s="95"/>
    </row>
    <row r="95" spans="1:20" ht="16.2" thickBot="1" x14ac:dyDescent="0.35">
      <c r="A95" s="302" t="str">
        <f>IF('Initial Screens'!$D$29="Yes","Show","Hide")</f>
        <v>Hide</v>
      </c>
      <c r="B95" s="524" t="s">
        <v>567</v>
      </c>
      <c r="C95" s="526"/>
      <c r="D95" s="526"/>
      <c r="E95" s="527"/>
      <c r="F95" s="530">
        <f>ROUND(50%,3)</f>
        <v>0.5</v>
      </c>
      <c r="G95" s="181"/>
      <c r="H95" s="381" t="s">
        <v>66</v>
      </c>
      <c r="M95" s="99"/>
      <c r="N95" s="99"/>
      <c r="P95" s="96"/>
      <c r="Q95" s="100"/>
      <c r="R95" s="195"/>
      <c r="S95" s="95"/>
      <c r="T95" s="95"/>
    </row>
    <row r="96" spans="1:20" ht="16.2" thickBot="1" x14ac:dyDescent="0.35">
      <c r="A96" s="302" t="str">
        <f>IF('Initial Screens'!$D$29="Yes","Show","Hide")</f>
        <v>Hide</v>
      </c>
      <c r="B96" s="524" t="s">
        <v>563</v>
      </c>
      <c r="C96" s="526"/>
      <c r="D96" s="526"/>
      <c r="E96" s="527"/>
      <c r="F96" s="536">
        <f>F91*$F$94*$F$95</f>
        <v>0</v>
      </c>
      <c r="G96" s="181"/>
      <c r="H96" s="499" t="s">
        <v>575</v>
      </c>
      <c r="M96" s="99"/>
      <c r="N96" s="99"/>
      <c r="P96" s="96"/>
      <c r="Q96" s="100"/>
      <c r="R96" s="195"/>
      <c r="S96" s="95"/>
      <c r="T96" s="95"/>
    </row>
    <row r="97" spans="1:20" ht="16.2" thickBot="1" x14ac:dyDescent="0.35">
      <c r="A97" s="302" t="str">
        <f>IF('Initial Screens'!$D$29="Yes","Show","Hide")</f>
        <v>Hide</v>
      </c>
      <c r="B97" s="531" t="s">
        <v>578</v>
      </c>
      <c r="C97" s="94"/>
      <c r="D97" s="94"/>
      <c r="E97" s="94"/>
      <c r="F97" s="536">
        <f t="shared" ref="F97:F98" si="1">F92*$F$94*$F$95</f>
        <v>0</v>
      </c>
      <c r="G97" s="532"/>
      <c r="H97" s="499" t="s">
        <v>577</v>
      </c>
      <c r="M97" s="99"/>
      <c r="N97" s="99"/>
      <c r="P97" s="96"/>
      <c r="Q97" s="100"/>
      <c r="R97" s="195"/>
      <c r="S97" s="95"/>
      <c r="T97" s="95"/>
    </row>
    <row r="98" spans="1:20" ht="16.2" thickBot="1" x14ac:dyDescent="0.35">
      <c r="A98" s="302" t="str">
        <f>IF('Initial Screens'!$D$29="Yes","Show","Hide")</f>
        <v>Hide</v>
      </c>
      <c r="B98" s="524" t="s">
        <v>579</v>
      </c>
      <c r="C98" s="94"/>
      <c r="D98" s="94"/>
      <c r="E98" s="94"/>
      <c r="F98" s="536">
        <f t="shared" si="1"/>
        <v>0</v>
      </c>
      <c r="G98" s="523"/>
      <c r="H98" s="499" t="s">
        <v>576</v>
      </c>
      <c r="M98" s="99"/>
      <c r="N98" s="99"/>
      <c r="P98" s="96"/>
      <c r="Q98" s="100"/>
      <c r="R98" s="195"/>
      <c r="S98" s="95"/>
      <c r="T98" s="95"/>
    </row>
    <row r="99" spans="1:20" ht="20.25" customHeight="1" thickBot="1" x14ac:dyDescent="0.35">
      <c r="A99" s="302" t="str">
        <f>IF('Initial Screens'!$D$29="Yes","Show","Hide")</f>
        <v>Hide</v>
      </c>
      <c r="B99" s="7" t="s">
        <v>574</v>
      </c>
      <c r="C99" s="50"/>
      <c r="D99" s="50"/>
      <c r="E99" s="67"/>
      <c r="F99" s="183">
        <v>0.15</v>
      </c>
      <c r="G99" s="98"/>
      <c r="H99" s="379" t="s">
        <v>255</v>
      </c>
      <c r="I99" s="195"/>
    </row>
    <row r="100" spans="1:20" ht="16.2" thickBot="1" x14ac:dyDescent="0.35">
      <c r="A100" s="302" t="str">
        <f>IF('Initial Screens'!$D$29="Yes","Show","Hide")</f>
        <v>Hide</v>
      </c>
      <c r="B100" s="7" t="str">
        <f>AnalysisTerm&amp;"-Year Current State Cost - Compute"</f>
        <v>10-Year Current State Cost - Compute</v>
      </c>
      <c r="C100" s="50"/>
      <c r="D100" s="50"/>
      <c r="E100" s="67"/>
      <c r="F100" s="536">
        <f>F96*(1+AnalysisTerm*$F$99)</f>
        <v>0</v>
      </c>
      <c r="G100" s="98"/>
      <c r="H100" s="499" t="s">
        <v>8</v>
      </c>
      <c r="I100" s="195"/>
    </row>
    <row r="101" spans="1:20" ht="16.2" thickBot="1" x14ac:dyDescent="0.35">
      <c r="A101" s="302" t="str">
        <f>IF('Initial Screens'!$D$29="Yes","Show","Hide")</f>
        <v>Hide</v>
      </c>
      <c r="B101" s="7" t="str">
        <f>AnalysisTerm&amp;"-Year Current State Cost - Storage"</f>
        <v>10-Year Current State Cost - Storage</v>
      </c>
      <c r="C101" s="50"/>
      <c r="D101" s="50"/>
      <c r="E101" s="67"/>
      <c r="F101" s="536">
        <f>F97*(1+AnalysisTerm*$F$99)</f>
        <v>0</v>
      </c>
      <c r="G101" s="98"/>
      <c r="H101" s="499" t="s">
        <v>8</v>
      </c>
      <c r="I101" s="195"/>
    </row>
    <row r="102" spans="1:20" ht="16.2" thickBot="1" x14ac:dyDescent="0.35">
      <c r="A102" s="302" t="str">
        <f>IF('Initial Screens'!$D$29="Yes","Show","Hide")</f>
        <v>Hide</v>
      </c>
      <c r="B102" s="7" t="str">
        <f>AnalysisTerm&amp;"-Year Current State Cost - Network"</f>
        <v>10-Year Current State Cost - Network</v>
      </c>
      <c r="C102" s="50"/>
      <c r="D102" s="50"/>
      <c r="E102" s="67"/>
      <c r="F102" s="536">
        <f>F98*(1+AnalysisTerm*$F$99)</f>
        <v>0</v>
      </c>
      <c r="G102" s="98"/>
      <c r="H102" s="499" t="s">
        <v>8</v>
      </c>
      <c r="I102" s="195"/>
    </row>
    <row r="103" spans="1:20" ht="16.2" thickBot="1" x14ac:dyDescent="0.35">
      <c r="A103" s="302" t="str">
        <f>IF('Initial Screens'!$D$29="Yes","Show","Hide")</f>
        <v>Hide</v>
      </c>
      <c r="B103" s="91" t="str">
        <f>"Total "&amp;AnalysisTerm&amp;"-Year Current State Cost"</f>
        <v>Total 10-Year Current State Cost</v>
      </c>
      <c r="C103" s="92"/>
      <c r="D103" s="92"/>
      <c r="E103" s="93"/>
      <c r="F103" s="102">
        <f>ROUND(SUM(F96:F98)*(1+AnalysisTerm*F99),0)</f>
        <v>0</v>
      </c>
      <c r="G103" s="181"/>
      <c r="H103" s="499" t="s">
        <v>8</v>
      </c>
      <c r="M103" s="99"/>
      <c r="N103" s="99"/>
      <c r="P103" s="96"/>
      <c r="Q103" s="100"/>
      <c r="R103" s="195"/>
      <c r="S103" s="95"/>
      <c r="T103" s="95"/>
    </row>
    <row r="104" spans="1:20" ht="16.2" thickBot="1" x14ac:dyDescent="0.35">
      <c r="A104" s="302" t="str">
        <f>IF('Initial Screens'!$D$29="Yes","Show","Hide")</f>
        <v>Hide</v>
      </c>
      <c r="B104" s="74" t="s">
        <v>13</v>
      </c>
      <c r="C104" s="152"/>
      <c r="D104" s="94"/>
      <c r="E104" s="94"/>
      <c r="F104" s="94"/>
      <c r="G104" s="181"/>
      <c r="H104" s="94"/>
      <c r="M104" s="99"/>
      <c r="N104" s="99"/>
      <c r="P104" s="96"/>
      <c r="Q104" s="100"/>
      <c r="R104" s="195"/>
      <c r="S104" s="95"/>
      <c r="T104" s="95"/>
    </row>
    <row r="105" spans="1:20" ht="16.2" thickBot="1" x14ac:dyDescent="0.35">
      <c r="A105" s="302" t="str">
        <f>IF('Initial Screens'!$D$29="Yes","Show","Hide")</f>
        <v>Hide</v>
      </c>
      <c r="B105" s="524" t="s">
        <v>568</v>
      </c>
      <c r="C105" s="525"/>
      <c r="D105" s="526"/>
      <c r="E105" s="527"/>
      <c r="F105" s="87">
        <f>IF('Initial Screens'!$D$29="Yes",F94*50%,0)</f>
        <v>0</v>
      </c>
      <c r="G105" s="881" t="str">
        <f>IF(SUM(F105:F106)&gt;100%,"Sum of VLCR &amp; VLSR protection is limited to 100%","")</f>
        <v/>
      </c>
      <c r="H105" s="381" t="s">
        <v>66</v>
      </c>
      <c r="M105" s="99"/>
      <c r="N105" s="99"/>
      <c r="P105" s="96"/>
      <c r="Q105" s="100"/>
      <c r="R105" s="195"/>
      <c r="S105" s="95"/>
      <c r="T105" s="95"/>
    </row>
    <row r="106" spans="1:20" ht="16.2" thickBot="1" x14ac:dyDescent="0.35">
      <c r="A106" s="302" t="str">
        <f>IF('Initial Screens'!$D$29="Yes","Show","Hide")</f>
        <v>Hide</v>
      </c>
      <c r="B106" s="524" t="s">
        <v>569</v>
      </c>
      <c r="C106" s="528"/>
      <c r="D106" s="526"/>
      <c r="E106" s="527"/>
      <c r="F106" s="87">
        <f>IF('Initial Screens'!$D$29="Yes",F94*50%,0)</f>
        <v>0</v>
      </c>
      <c r="G106" s="881"/>
      <c r="H106" s="381" t="s">
        <v>66</v>
      </c>
      <c r="M106" s="99"/>
      <c r="N106" s="99"/>
      <c r="P106" s="96"/>
      <c r="Q106" s="100"/>
      <c r="R106" s="195"/>
      <c r="S106" s="95"/>
      <c r="T106" s="95"/>
    </row>
    <row r="107" spans="1:20" ht="16.2" thickBot="1" x14ac:dyDescent="0.35">
      <c r="A107" s="302" t="str">
        <f>IF('Initial Screens'!$D$29="Yes","Show","Hide")</f>
        <v>Hide</v>
      </c>
      <c r="B107" s="524" t="s">
        <v>326</v>
      </c>
      <c r="C107" s="94"/>
      <c r="D107" s="94"/>
      <c r="E107" s="317"/>
      <c r="F107" s="530">
        <f>IFERROR(ROUND(SUM(F105:F106)/F94*75%,3),0)</f>
        <v>0</v>
      </c>
      <c r="G107" s="105" t="s">
        <v>233</v>
      </c>
      <c r="H107" s="381" t="s">
        <v>66</v>
      </c>
      <c r="M107" s="99"/>
      <c r="N107" s="99"/>
      <c r="P107" s="96"/>
      <c r="Q107" s="100"/>
      <c r="R107" s="195"/>
      <c r="S107" s="95"/>
      <c r="T107" s="95"/>
    </row>
    <row r="108" spans="1:20" ht="16.2" thickBot="1" x14ac:dyDescent="0.35">
      <c r="A108" s="302" t="str">
        <f>IF('Initial Screens'!$D$29="Yes","Show","Hide")</f>
        <v>Hide</v>
      </c>
      <c r="B108" s="524" t="s">
        <v>563</v>
      </c>
      <c r="C108" s="94"/>
      <c r="D108" s="94"/>
      <c r="E108" s="317"/>
      <c r="F108" s="536">
        <f>IFERROR(MIN(SUM($F$105:$F$106)/$F$94,1)*(1-$F$107)*F96,0)</f>
        <v>0</v>
      </c>
      <c r="G108" s="181"/>
      <c r="H108" s="499" t="s">
        <v>575</v>
      </c>
      <c r="M108" s="99"/>
      <c r="N108" s="99"/>
      <c r="P108" s="96"/>
      <c r="Q108" s="100"/>
      <c r="R108" s="195"/>
      <c r="S108" s="95"/>
      <c r="T108" s="95"/>
    </row>
    <row r="109" spans="1:20" ht="16.2" thickBot="1" x14ac:dyDescent="0.35">
      <c r="A109" s="302" t="str">
        <f>IF('Initial Screens'!$D$29="Yes","Show","Hide")</f>
        <v>Hide</v>
      </c>
      <c r="B109" s="531" t="s">
        <v>578</v>
      </c>
      <c r="C109" s="94"/>
      <c r="D109" s="94"/>
      <c r="E109" s="317"/>
      <c r="F109" s="536">
        <f>IFERROR(MIN(SUM($F$105:$F$106)/$F$94,1)*(1-$F$107)*F97,0)</f>
        <v>0</v>
      </c>
      <c r="G109" s="181"/>
      <c r="H109" s="499" t="s">
        <v>577</v>
      </c>
      <c r="M109" s="99"/>
      <c r="N109" s="99"/>
      <c r="P109" s="96"/>
      <c r="Q109" s="100"/>
      <c r="R109" s="195"/>
      <c r="S109" s="95"/>
      <c r="T109" s="95"/>
    </row>
    <row r="110" spans="1:20" ht="16.2" thickBot="1" x14ac:dyDescent="0.35">
      <c r="A110" s="302" t="str">
        <f>IF('Initial Screens'!$D$29="Yes","Show","Hide")</f>
        <v>Hide</v>
      </c>
      <c r="B110" s="524" t="s">
        <v>579</v>
      </c>
      <c r="C110" s="94"/>
      <c r="D110" s="94"/>
      <c r="E110" s="317"/>
      <c r="F110" s="536">
        <f>IFERROR(MIN(SUM($F$105:$F$106)/$F$94,1)*(1-$F$107)*F98,0)</f>
        <v>0</v>
      </c>
      <c r="G110" s="181"/>
      <c r="H110" s="499" t="s">
        <v>576</v>
      </c>
      <c r="M110" s="99"/>
      <c r="N110" s="99"/>
      <c r="P110" s="96"/>
      <c r="Q110" s="100"/>
      <c r="R110" s="195"/>
      <c r="S110" s="95"/>
      <c r="T110" s="95"/>
    </row>
    <row r="111" spans="1:20" ht="16.5" customHeight="1" thickBot="1" x14ac:dyDescent="0.35">
      <c r="A111" s="302" t="str">
        <f>IF('Initial Screens'!$D$29="Yes","Show","Hide")</f>
        <v>Hide</v>
      </c>
      <c r="B111" s="7" t="s">
        <v>574</v>
      </c>
      <c r="C111" s="50"/>
      <c r="D111" s="50"/>
      <c r="E111" s="67"/>
      <c r="F111" s="183">
        <v>0.15</v>
      </c>
      <c r="G111" s="98"/>
      <c r="H111" s="379" t="s">
        <v>255</v>
      </c>
      <c r="I111" s="195"/>
    </row>
    <row r="112" spans="1:20" ht="16.5" customHeight="1" thickBot="1" x14ac:dyDescent="0.35">
      <c r="A112" s="302" t="str">
        <f>IF('Initial Screens'!$D$29="Yes","Show","Hide")</f>
        <v>Hide</v>
      </c>
      <c r="B112" s="7" t="str">
        <f>AnalysisTerm&amp;"-Year Future State Cost - Compute"</f>
        <v>10-Year Future State Cost - Compute</v>
      </c>
      <c r="C112" s="50"/>
      <c r="D112" s="50"/>
      <c r="E112" s="67"/>
      <c r="F112" s="536">
        <f>F108*(1+AnalysisTerm*$F$111)</f>
        <v>0</v>
      </c>
      <c r="G112" s="98"/>
      <c r="H112" s="502" t="s">
        <v>8</v>
      </c>
      <c r="I112" s="195"/>
    </row>
    <row r="113" spans="1:20" ht="16.5" customHeight="1" thickBot="1" x14ac:dyDescent="0.35">
      <c r="A113" s="302" t="str">
        <f>IF('Initial Screens'!$D$29="Yes","Show","Hide")</f>
        <v>Hide</v>
      </c>
      <c r="B113" s="7" t="str">
        <f>AnalysisTerm&amp;"-Year Future State Cost - Storage"</f>
        <v>10-Year Future State Cost - Storage</v>
      </c>
      <c r="C113" s="50"/>
      <c r="D113" s="50"/>
      <c r="E113" s="67"/>
      <c r="F113" s="536">
        <f>F109*(1+AnalysisTerm*$F$111)</f>
        <v>0</v>
      </c>
      <c r="G113" s="98"/>
      <c r="H113" s="502" t="s">
        <v>8</v>
      </c>
      <c r="I113" s="195"/>
    </row>
    <row r="114" spans="1:20" ht="16.5" customHeight="1" thickBot="1" x14ac:dyDescent="0.35">
      <c r="A114" s="302" t="str">
        <f>IF('Initial Screens'!$D$29="Yes","Show","Hide")</f>
        <v>Hide</v>
      </c>
      <c r="B114" s="7" t="str">
        <f>AnalysisTerm&amp;"-Year Future State Cost - Network"</f>
        <v>10-Year Future State Cost - Network</v>
      </c>
      <c r="C114" s="50"/>
      <c r="D114" s="50"/>
      <c r="E114" s="67"/>
      <c r="F114" s="536">
        <f>F110*(1+AnalysisTerm*$F$111)</f>
        <v>0</v>
      </c>
      <c r="G114" s="98"/>
      <c r="H114" s="502" t="s">
        <v>8</v>
      </c>
      <c r="I114" s="195"/>
    </row>
    <row r="115" spans="1:20" ht="16.2" thickBot="1" x14ac:dyDescent="0.35">
      <c r="A115" s="302" t="str">
        <f>IF('Initial Screens'!$D$29="Yes","Show","Hide")</f>
        <v>Hide</v>
      </c>
      <c r="B115" s="91" t="str">
        <f>"Total "&amp;AnalysisTerm&amp;"-Year Future State Cost"</f>
        <v>Total 10-Year Future State Cost</v>
      </c>
      <c r="C115" s="92"/>
      <c r="D115" s="92"/>
      <c r="E115" s="93"/>
      <c r="F115" s="533">
        <f>ROUND(SUM(F108:F110)*(1+AnalysisTerm*F111),0)</f>
        <v>0</v>
      </c>
      <c r="G115" s="304"/>
      <c r="H115" s="502" t="s">
        <v>8</v>
      </c>
      <c r="M115" s="99"/>
      <c r="N115" s="99"/>
      <c r="P115" s="96"/>
      <c r="Q115" s="100"/>
      <c r="R115" s="195"/>
      <c r="S115" s="95"/>
      <c r="T115" s="95"/>
    </row>
    <row r="116" spans="1:20" x14ac:dyDescent="0.3">
      <c r="B116" s="2"/>
      <c r="C116" s="2"/>
      <c r="D116" s="2"/>
      <c r="E116" s="2"/>
      <c r="F116" s="13"/>
      <c r="G116" s="286"/>
      <c r="H116" s="2"/>
      <c r="M116" s="99"/>
      <c r="N116" s="99"/>
      <c r="P116" s="96"/>
      <c r="Q116" s="100"/>
      <c r="R116" s="195"/>
      <c r="S116" s="95"/>
      <c r="T116" s="95"/>
    </row>
    <row r="117" spans="1:20" x14ac:dyDescent="0.3">
      <c r="B117" s="534"/>
      <c r="C117" s="534"/>
      <c r="D117" s="534"/>
      <c r="E117" s="534"/>
      <c r="F117" s="534"/>
      <c r="G117" s="534"/>
      <c r="H117" s="95"/>
      <c r="I117" s="535"/>
      <c r="J117" s="534"/>
    </row>
    <row r="118" spans="1:20" x14ac:dyDescent="0.3">
      <c r="A118" s="784" t="str">
        <f>$A$28</f>
        <v>Show</v>
      </c>
      <c r="B118" s="95" t="s">
        <v>766</v>
      </c>
      <c r="C118" s="786" t="s">
        <v>288</v>
      </c>
      <c r="D118" s="787" t="str">
        <f>IF(C118="",IF('Initial Screens'!C13="VCF 9","Yes","No"),C118)</f>
        <v>Yes</v>
      </c>
      <c r="E118" s="788"/>
      <c r="F118" s="788"/>
      <c r="G118" s="100"/>
    </row>
    <row r="119" spans="1:20" ht="16.2" thickBot="1" x14ac:dyDescent="0.35">
      <c r="A119" s="784"/>
      <c r="F119" s="789"/>
      <c r="G119" s="100"/>
    </row>
    <row r="120" spans="1:20" ht="16.2" thickBot="1" x14ac:dyDescent="0.35">
      <c r="A120" s="784" t="str">
        <f>IF(OR(A118="Hide",D118="No"),"Hide","Show")</f>
        <v>Show</v>
      </c>
      <c r="B120" s="878" t="s">
        <v>766</v>
      </c>
      <c r="C120" s="879"/>
      <c r="D120" s="879"/>
      <c r="E120" s="879"/>
      <c r="F120" s="880"/>
      <c r="G120" s="100"/>
    </row>
    <row r="121" spans="1:20" ht="16.2" thickBot="1" x14ac:dyDescent="0.35">
      <c r="A121" s="784" t="str">
        <f>$A$120</f>
        <v>Show</v>
      </c>
      <c r="B121" s="522" t="s">
        <v>12</v>
      </c>
      <c r="F121" s="790"/>
      <c r="G121" s="100"/>
    </row>
    <row r="122" spans="1:20" ht="16.2" thickBot="1" x14ac:dyDescent="0.35">
      <c r="A122" s="784" t="str">
        <f t="shared" ref="A122:A136" si="2">$A$120</f>
        <v>Show</v>
      </c>
      <c r="B122" s="7" t="s">
        <v>767</v>
      </c>
      <c r="F122" s="791">
        <v>5000</v>
      </c>
      <c r="G122" s="100"/>
      <c r="H122" s="568"/>
    </row>
    <row r="123" spans="1:20" ht="16.2" thickBot="1" x14ac:dyDescent="0.35">
      <c r="A123" s="784" t="str">
        <f t="shared" si="2"/>
        <v>Show</v>
      </c>
      <c r="B123" s="7" t="s">
        <v>768</v>
      </c>
      <c r="F123" s="792">
        <f>ROUND(F122/(D42*D44),0)</f>
        <v>19</v>
      </c>
      <c r="G123" s="100"/>
      <c r="H123" s="800" t="s">
        <v>8</v>
      </c>
    </row>
    <row r="124" spans="1:20" ht="16.2" thickBot="1" x14ac:dyDescent="0.35">
      <c r="A124" s="784" t="str">
        <f t="shared" si="2"/>
        <v>Show</v>
      </c>
      <c r="B124" s="7" t="s">
        <v>835</v>
      </c>
      <c r="F124" s="793">
        <f>MAX(F9:F10)</f>
        <v>25000</v>
      </c>
      <c r="G124" s="100"/>
      <c r="H124" s="380" t="s">
        <v>257</v>
      </c>
    </row>
    <row r="125" spans="1:20" ht="16.2" thickBot="1" x14ac:dyDescent="0.35">
      <c r="A125" s="784" t="str">
        <f t="shared" si="2"/>
        <v>Show</v>
      </c>
      <c r="B125" s="7" t="s">
        <v>212</v>
      </c>
      <c r="F125" s="794">
        <f>F11</f>
        <v>0.15</v>
      </c>
      <c r="G125" s="100"/>
      <c r="H125" s="380" t="s">
        <v>257</v>
      </c>
    </row>
    <row r="126" spans="1:20" ht="16.2" thickBot="1" x14ac:dyDescent="0.35">
      <c r="A126" s="784" t="str">
        <f t="shared" si="2"/>
        <v>Show</v>
      </c>
      <c r="B126" s="7" t="s">
        <v>769</v>
      </c>
      <c r="F126" s="795">
        <f>F123*F124*(1+AnalysisTerm*F125)</f>
        <v>1187500</v>
      </c>
      <c r="G126" s="100"/>
      <c r="H126" s="499" t="s">
        <v>8</v>
      </c>
    </row>
    <row r="127" spans="1:20" ht="16.2" thickBot="1" x14ac:dyDescent="0.35">
      <c r="A127" s="784" t="str">
        <f t="shared" si="2"/>
        <v>Show</v>
      </c>
      <c r="B127" s="7" t="s">
        <v>770</v>
      </c>
      <c r="F127" s="795">
        <f>(Network!F5*Compute!F123*Compute!F124*(1+AnalysisTerm*F125))</f>
        <v>118750</v>
      </c>
      <c r="G127" s="100"/>
      <c r="H127" s="499" t="s">
        <v>8</v>
      </c>
    </row>
    <row r="128" spans="1:20" ht="16.2" thickBot="1" x14ac:dyDescent="0.35">
      <c r="A128" s="784" t="str">
        <f t="shared" si="2"/>
        <v>Show</v>
      </c>
      <c r="B128" s="7" t="s">
        <v>771</v>
      </c>
      <c r="F128" s="795">
        <f>F123*Facilities!F57</f>
        <v>114608</v>
      </c>
      <c r="G128" s="100"/>
      <c r="H128" s="499" t="s">
        <v>8</v>
      </c>
    </row>
    <row r="129" spans="1:8" ht="16.2" thickBot="1" x14ac:dyDescent="0.35">
      <c r="A129" s="784" t="str">
        <f t="shared" si="2"/>
        <v>Show</v>
      </c>
      <c r="B129" s="796" t="str">
        <f>"Total "&amp;AnalysisTerm&amp;"-Year Current State Cost"</f>
        <v>Total 10-Year Current State Cost</v>
      </c>
      <c r="C129" s="797"/>
      <c r="D129" s="797"/>
      <c r="E129" s="798"/>
      <c r="F129" s="799">
        <f>IF(D118="No",0,SUM(F126:F128))</f>
        <v>1420858</v>
      </c>
      <c r="G129" s="100"/>
      <c r="H129" s="499" t="s">
        <v>8</v>
      </c>
    </row>
    <row r="130" spans="1:8" x14ac:dyDescent="0.3">
      <c r="A130" s="784" t="str">
        <f t="shared" si="2"/>
        <v>Show</v>
      </c>
      <c r="B130" s="74" t="s">
        <v>13</v>
      </c>
      <c r="F130" s="790"/>
      <c r="G130" s="100"/>
    </row>
    <row r="131" spans="1:8" ht="16.2" thickBot="1" x14ac:dyDescent="0.35">
      <c r="A131" s="784" t="str">
        <f t="shared" si="2"/>
        <v>Show</v>
      </c>
      <c r="B131" s="7" t="s">
        <v>772</v>
      </c>
      <c r="F131" s="794">
        <v>1</v>
      </c>
      <c r="G131" s="100"/>
      <c r="H131" s="379" t="s">
        <v>255</v>
      </c>
    </row>
    <row r="132" spans="1:8" ht="16.2" thickBot="1" x14ac:dyDescent="0.35">
      <c r="A132" s="784" t="str">
        <f t="shared" si="2"/>
        <v>Show</v>
      </c>
      <c r="B132" s="7" t="s">
        <v>773</v>
      </c>
      <c r="F132" s="792">
        <v>3840</v>
      </c>
      <c r="G132" s="100"/>
      <c r="H132" s="379" t="s">
        <v>255</v>
      </c>
    </row>
    <row r="133" spans="1:8" ht="16.2" thickBot="1" x14ac:dyDescent="0.35">
      <c r="A133" s="784" t="str">
        <f t="shared" si="2"/>
        <v>Show</v>
      </c>
      <c r="B133" s="7" t="s">
        <v>774</v>
      </c>
      <c r="F133" s="793">
        <f>IF(F132=1920,2157,1759)</f>
        <v>1759</v>
      </c>
      <c r="G133" s="100"/>
      <c r="H133" s="379" t="str">
        <f>IF(F132=3840,"HPE 3.84 TB Gen4 U.3","HPE 1.92 TB NVMe Gen4 ")</f>
        <v>HPE 3.84 TB Gen4 U.3</v>
      </c>
    </row>
    <row r="134" spans="1:8" ht="16.2" thickBot="1" x14ac:dyDescent="0.35">
      <c r="A134" s="784" t="str">
        <f t="shared" si="2"/>
        <v>Show</v>
      </c>
      <c r="B134" s="7" t="s">
        <v>775</v>
      </c>
      <c r="F134" s="792">
        <f>ROUND(F122/(F132*F44),0)</f>
        <v>2</v>
      </c>
      <c r="G134" s="100"/>
      <c r="H134" s="499" t="s">
        <v>8</v>
      </c>
    </row>
    <row r="135" spans="1:8" ht="16.2" thickBot="1" x14ac:dyDescent="0.35">
      <c r="A135" s="784" t="str">
        <f t="shared" si="2"/>
        <v>Show</v>
      </c>
      <c r="B135" s="7" t="s">
        <v>769</v>
      </c>
      <c r="F135" s="795">
        <f>F134*F133*(1+AnalysisTerm*F125)</f>
        <v>8795</v>
      </c>
      <c r="G135" s="100"/>
      <c r="H135" s="499" t="s">
        <v>8</v>
      </c>
    </row>
    <row r="136" spans="1:8" ht="16.2" thickBot="1" x14ac:dyDescent="0.35">
      <c r="A136" s="784" t="str">
        <f t="shared" si="2"/>
        <v>Show</v>
      </c>
      <c r="B136" s="796" t="str">
        <f>"Total "&amp;AnalysisTerm&amp;"-Year Current State Cost"</f>
        <v>Total 10-Year Current State Cost</v>
      </c>
      <c r="C136" s="797"/>
      <c r="D136" s="797"/>
      <c r="E136" s="798"/>
      <c r="F136" s="799">
        <f>IF(D118="No",0,F135)</f>
        <v>8795</v>
      </c>
      <c r="G136" s="100"/>
      <c r="H136" s="499" t="s">
        <v>8</v>
      </c>
    </row>
    <row r="254" spans="7:20" ht="10.050000000000001" customHeight="1" x14ac:dyDescent="0.3">
      <c r="G254" s="98"/>
      <c r="H254" s="211"/>
      <c r="O254" s="95"/>
      <c r="P254" s="95"/>
      <c r="Q254" s="95"/>
      <c r="R254" s="95"/>
      <c r="S254" s="95"/>
      <c r="T254" s="95"/>
    </row>
    <row r="255" spans="7:20" collapsed="1" x14ac:dyDescent="0.3">
      <c r="G255" s="98"/>
    </row>
    <row r="256" spans="7:20" x14ac:dyDescent="0.3">
      <c r="G256" s="98"/>
    </row>
    <row r="257" spans="7:7" x14ac:dyDescent="0.3">
      <c r="G257" s="98"/>
    </row>
    <row r="258" spans="7:7" x14ac:dyDescent="0.3">
      <c r="G258" s="98"/>
    </row>
    <row r="259" spans="7:7" x14ac:dyDescent="0.3">
      <c r="G259" s="98"/>
    </row>
    <row r="260" spans="7:7" x14ac:dyDescent="0.3">
      <c r="G260" s="98"/>
    </row>
    <row r="261" spans="7:7" x14ac:dyDescent="0.3">
      <c r="G261" s="98"/>
    </row>
    <row r="262" spans="7:7" x14ac:dyDescent="0.3">
      <c r="G262" s="98"/>
    </row>
    <row r="263" spans="7:7" x14ac:dyDescent="0.3">
      <c r="G263" s="98"/>
    </row>
    <row r="264" spans="7:7" x14ac:dyDescent="0.3">
      <c r="G264" s="98"/>
    </row>
    <row r="265" spans="7:7" x14ac:dyDescent="0.3">
      <c r="G265" s="98"/>
    </row>
    <row r="266" spans="7:7" x14ac:dyDescent="0.3">
      <c r="G266" s="98"/>
    </row>
    <row r="267" spans="7:7" x14ac:dyDescent="0.3">
      <c r="G267" s="98"/>
    </row>
    <row r="268" spans="7:7" x14ac:dyDescent="0.3">
      <c r="G268" s="98"/>
    </row>
    <row r="269" spans="7:7" x14ac:dyDescent="0.3">
      <c r="G269" s="98"/>
    </row>
    <row r="270" spans="7:7" x14ac:dyDescent="0.3">
      <c r="G270" s="98"/>
    </row>
    <row r="271" spans="7:7" x14ac:dyDescent="0.3">
      <c r="G271" s="98"/>
    </row>
    <row r="272" spans="7:7" x14ac:dyDescent="0.3">
      <c r="G272" s="98"/>
    </row>
    <row r="273" spans="7:7" x14ac:dyDescent="0.3">
      <c r="G273" s="98"/>
    </row>
    <row r="274" spans="7:7" x14ac:dyDescent="0.3">
      <c r="G274" s="98"/>
    </row>
    <row r="275" spans="7:7" x14ac:dyDescent="0.3">
      <c r="G275" s="98"/>
    </row>
    <row r="276" spans="7:7" x14ac:dyDescent="0.3">
      <c r="G276" s="98"/>
    </row>
    <row r="277" spans="7:7" x14ac:dyDescent="0.3">
      <c r="G277" s="98"/>
    </row>
    <row r="278" spans="7:7" x14ac:dyDescent="0.3">
      <c r="G278" s="98"/>
    </row>
    <row r="279" spans="7:7" x14ac:dyDescent="0.3">
      <c r="G279" s="98"/>
    </row>
    <row r="280" spans="7:7" x14ac:dyDescent="0.3">
      <c r="G280" s="98"/>
    </row>
    <row r="281" spans="7:7" x14ac:dyDescent="0.3">
      <c r="G281" s="98"/>
    </row>
    <row r="282" spans="7:7" x14ac:dyDescent="0.3">
      <c r="G282" s="98"/>
    </row>
    <row r="283" spans="7:7" x14ac:dyDescent="0.3">
      <c r="G283" s="98"/>
    </row>
    <row r="284" spans="7:7" x14ac:dyDescent="0.3">
      <c r="G284" s="98"/>
    </row>
    <row r="285" spans="7:7" x14ac:dyDescent="0.3">
      <c r="G285" s="98"/>
    </row>
    <row r="286" spans="7:7" x14ac:dyDescent="0.3">
      <c r="G286" s="98"/>
    </row>
    <row r="287" spans="7:7" x14ac:dyDescent="0.3">
      <c r="G287" s="98"/>
    </row>
    <row r="288" spans="7:7" x14ac:dyDescent="0.3">
      <c r="G288" s="98"/>
    </row>
    <row r="289" spans="7:7" x14ac:dyDescent="0.3">
      <c r="G289" s="98"/>
    </row>
    <row r="290" spans="7:7" x14ac:dyDescent="0.3">
      <c r="G290" s="98"/>
    </row>
    <row r="291" spans="7:7" x14ac:dyDescent="0.3">
      <c r="G291" s="98"/>
    </row>
    <row r="292" spans="7:7" x14ac:dyDescent="0.3">
      <c r="G292" s="98"/>
    </row>
    <row r="293" spans="7:7" x14ac:dyDescent="0.3">
      <c r="G293" s="98"/>
    </row>
    <row r="294" spans="7:7" x14ac:dyDescent="0.3">
      <c r="G294" s="98"/>
    </row>
    <row r="295" spans="7:7" x14ac:dyDescent="0.3">
      <c r="G295" s="98"/>
    </row>
    <row r="296" spans="7:7" x14ac:dyDescent="0.3">
      <c r="G296" s="98"/>
    </row>
    <row r="297" spans="7:7" x14ac:dyDescent="0.3">
      <c r="G297" s="98"/>
    </row>
    <row r="298" spans="7:7" x14ac:dyDescent="0.3">
      <c r="G298" s="98"/>
    </row>
    <row r="299" spans="7:7" x14ac:dyDescent="0.3">
      <c r="G299" s="98"/>
    </row>
    <row r="300" spans="7:7" x14ac:dyDescent="0.3">
      <c r="G300" s="98"/>
    </row>
    <row r="301" spans="7:7" x14ac:dyDescent="0.3">
      <c r="G301" s="98"/>
    </row>
    <row r="302" spans="7:7" x14ac:dyDescent="0.3">
      <c r="G302" s="98"/>
    </row>
    <row r="303" spans="7:7" x14ac:dyDescent="0.3">
      <c r="G303" s="98"/>
    </row>
    <row r="304" spans="7:7" x14ac:dyDescent="0.3">
      <c r="G304" s="98"/>
    </row>
    <row r="305" spans="7:7" x14ac:dyDescent="0.3">
      <c r="G305" s="98"/>
    </row>
    <row r="306" spans="7:7" x14ac:dyDescent="0.3">
      <c r="G306" s="98"/>
    </row>
    <row r="307" spans="7:7" x14ac:dyDescent="0.3">
      <c r="G307" s="98"/>
    </row>
    <row r="308" spans="7:7" x14ac:dyDescent="0.3">
      <c r="G308" s="98"/>
    </row>
    <row r="309" spans="7:7" x14ac:dyDescent="0.3">
      <c r="G309" s="98"/>
    </row>
    <row r="310" spans="7:7" x14ac:dyDescent="0.3">
      <c r="G310" s="98"/>
    </row>
    <row r="311" spans="7:7" x14ac:dyDescent="0.3">
      <c r="G311" s="98"/>
    </row>
    <row r="312" spans="7:7" x14ac:dyDescent="0.3">
      <c r="G312" s="98"/>
    </row>
    <row r="313" spans="7:7" x14ac:dyDescent="0.3">
      <c r="G313" s="98"/>
    </row>
    <row r="314" spans="7:7" x14ac:dyDescent="0.3">
      <c r="G314" s="98"/>
    </row>
    <row r="315" spans="7:7" x14ac:dyDescent="0.3">
      <c r="G315" s="98"/>
    </row>
    <row r="316" spans="7:7" x14ac:dyDescent="0.3">
      <c r="G316" s="98"/>
    </row>
    <row r="317" spans="7:7" x14ac:dyDescent="0.3">
      <c r="G317" s="98"/>
    </row>
    <row r="318" spans="7:7" x14ac:dyDescent="0.3">
      <c r="G318" s="98"/>
    </row>
    <row r="319" spans="7:7" x14ac:dyDescent="0.3">
      <c r="G319" s="98"/>
    </row>
    <row r="320" spans="7:7" x14ac:dyDescent="0.3">
      <c r="G320" s="98"/>
    </row>
    <row r="321" spans="7:7" x14ac:dyDescent="0.3">
      <c r="G321" s="98"/>
    </row>
    <row r="322" spans="7:7" x14ac:dyDescent="0.3">
      <c r="G322" s="98"/>
    </row>
    <row r="323" spans="7:7" x14ac:dyDescent="0.3">
      <c r="G323" s="98"/>
    </row>
    <row r="324" spans="7:7" x14ac:dyDescent="0.3">
      <c r="G324" s="98"/>
    </row>
    <row r="325" spans="7:7" x14ac:dyDescent="0.3">
      <c r="G325" s="98"/>
    </row>
    <row r="326" spans="7:7" x14ac:dyDescent="0.3">
      <c r="G326" s="98"/>
    </row>
    <row r="327" spans="7:7" x14ac:dyDescent="0.3">
      <c r="G327" s="98"/>
    </row>
    <row r="328" spans="7:7" x14ac:dyDescent="0.3">
      <c r="G328" s="98"/>
    </row>
    <row r="329" spans="7:7" x14ac:dyDescent="0.3">
      <c r="G329" s="98"/>
    </row>
    <row r="330" spans="7:7" x14ac:dyDescent="0.3">
      <c r="G330" s="98"/>
    </row>
    <row r="331" spans="7:7" x14ac:dyDescent="0.3">
      <c r="G331" s="98"/>
    </row>
    <row r="332" spans="7:7" x14ac:dyDescent="0.3">
      <c r="G332" s="98"/>
    </row>
    <row r="333" spans="7:7" x14ac:dyDescent="0.3">
      <c r="G333" s="98"/>
    </row>
    <row r="334" spans="7:7" x14ac:dyDescent="0.3">
      <c r="G334" s="98"/>
    </row>
    <row r="335" spans="7:7" x14ac:dyDescent="0.3">
      <c r="G335" s="98"/>
    </row>
    <row r="336" spans="7:7" x14ac:dyDescent="0.3">
      <c r="G336" s="98"/>
    </row>
    <row r="337" spans="7:7" x14ac:dyDescent="0.3">
      <c r="G337" s="98"/>
    </row>
    <row r="338" spans="7:7" x14ac:dyDescent="0.3">
      <c r="G338" s="98"/>
    </row>
    <row r="339" spans="7:7" x14ac:dyDescent="0.3">
      <c r="G339" s="98"/>
    </row>
    <row r="340" spans="7:7" x14ac:dyDescent="0.3">
      <c r="G340" s="98"/>
    </row>
    <row r="341" spans="7:7" x14ac:dyDescent="0.3">
      <c r="G341" s="98"/>
    </row>
    <row r="342" spans="7:7" x14ac:dyDescent="0.3">
      <c r="G342" s="98"/>
    </row>
    <row r="343" spans="7:7" x14ac:dyDescent="0.3">
      <c r="G343" s="98"/>
    </row>
    <row r="344" spans="7:7" x14ac:dyDescent="0.3">
      <c r="G344" s="98"/>
    </row>
    <row r="345" spans="7:7" x14ac:dyDescent="0.3">
      <c r="G345" s="98"/>
    </row>
    <row r="346" spans="7:7" x14ac:dyDescent="0.3">
      <c r="G346" s="98"/>
    </row>
    <row r="347" spans="7:7" x14ac:dyDescent="0.3">
      <c r="G347" s="98"/>
    </row>
    <row r="348" spans="7:7" x14ac:dyDescent="0.3">
      <c r="G348" s="98"/>
    </row>
    <row r="349" spans="7:7" x14ac:dyDescent="0.3">
      <c r="G349" s="98"/>
    </row>
    <row r="350" spans="7:7" x14ac:dyDescent="0.3">
      <c r="G350" s="98"/>
    </row>
    <row r="351" spans="7:7" x14ac:dyDescent="0.3">
      <c r="G351" s="98"/>
    </row>
    <row r="352" spans="7:7" x14ac:dyDescent="0.3">
      <c r="G352" s="98"/>
    </row>
    <row r="353" spans="7:7" x14ac:dyDescent="0.3">
      <c r="G353" s="98"/>
    </row>
    <row r="354" spans="7:7" x14ac:dyDescent="0.3">
      <c r="G354" s="98"/>
    </row>
    <row r="355" spans="7:7" x14ac:dyDescent="0.3">
      <c r="G355" s="98"/>
    </row>
    <row r="356" spans="7:7" x14ac:dyDescent="0.3">
      <c r="G356" s="98"/>
    </row>
    <row r="357" spans="7:7" x14ac:dyDescent="0.3">
      <c r="G357" s="98"/>
    </row>
    <row r="358" spans="7:7" x14ac:dyDescent="0.3">
      <c r="G358" s="98"/>
    </row>
    <row r="359" spans="7:7" x14ac:dyDescent="0.3">
      <c r="G359" s="98"/>
    </row>
    <row r="360" spans="7:7" x14ac:dyDescent="0.3">
      <c r="G360" s="98"/>
    </row>
    <row r="361" spans="7:7" x14ac:dyDescent="0.3">
      <c r="G361" s="98"/>
    </row>
    <row r="362" spans="7:7" x14ac:dyDescent="0.3">
      <c r="G362" s="98"/>
    </row>
    <row r="363" spans="7:7" x14ac:dyDescent="0.3">
      <c r="G363" s="98"/>
    </row>
    <row r="364" spans="7:7" x14ac:dyDescent="0.3">
      <c r="G364" s="98"/>
    </row>
    <row r="365" spans="7:7" x14ac:dyDescent="0.3">
      <c r="G365" s="98"/>
    </row>
    <row r="366" spans="7:7" x14ac:dyDescent="0.3">
      <c r="G366" s="98"/>
    </row>
    <row r="367" spans="7:7" x14ac:dyDescent="0.3">
      <c r="G367" s="98"/>
    </row>
    <row r="368" spans="7:7" x14ac:dyDescent="0.3">
      <c r="G368" s="98"/>
    </row>
    <row r="369" spans="7:7" x14ac:dyDescent="0.3">
      <c r="G369" s="98"/>
    </row>
    <row r="370" spans="7:7" x14ac:dyDescent="0.3">
      <c r="G370" s="98"/>
    </row>
    <row r="371" spans="7:7" x14ac:dyDescent="0.3">
      <c r="G371" s="98"/>
    </row>
    <row r="372" spans="7:7" x14ac:dyDescent="0.3">
      <c r="G372" s="98"/>
    </row>
    <row r="373" spans="7:7" x14ac:dyDescent="0.3">
      <c r="G373" s="98"/>
    </row>
    <row r="374" spans="7:7" x14ac:dyDescent="0.3">
      <c r="G374" s="98"/>
    </row>
    <row r="375" spans="7:7" x14ac:dyDescent="0.3">
      <c r="G375" s="98"/>
    </row>
    <row r="376" spans="7:7" x14ac:dyDescent="0.3">
      <c r="G376" s="98"/>
    </row>
    <row r="377" spans="7:7" x14ac:dyDescent="0.3">
      <c r="G377" s="98"/>
    </row>
    <row r="378" spans="7:7" x14ac:dyDescent="0.3">
      <c r="G378" s="98"/>
    </row>
    <row r="379" spans="7:7" x14ac:dyDescent="0.3">
      <c r="G379" s="98"/>
    </row>
    <row r="380" spans="7:7" x14ac:dyDescent="0.3">
      <c r="G380" s="98"/>
    </row>
    <row r="381" spans="7:7" x14ac:dyDescent="0.3">
      <c r="G381" s="98"/>
    </row>
    <row r="382" spans="7:7" x14ac:dyDescent="0.3">
      <c r="G382" s="98"/>
    </row>
    <row r="383" spans="7:7" x14ac:dyDescent="0.3">
      <c r="G383" s="98"/>
    </row>
    <row r="384" spans="7:7" x14ac:dyDescent="0.3">
      <c r="G384" s="98"/>
    </row>
    <row r="385" spans="7:7" x14ac:dyDescent="0.3">
      <c r="G385" s="98"/>
    </row>
    <row r="386" spans="7:7" x14ac:dyDescent="0.3">
      <c r="G386" s="98"/>
    </row>
    <row r="387" spans="7:7" x14ac:dyDescent="0.3">
      <c r="G387" s="98"/>
    </row>
    <row r="388" spans="7:7" x14ac:dyDescent="0.3">
      <c r="G388" s="98"/>
    </row>
    <row r="389" spans="7:7" x14ac:dyDescent="0.3">
      <c r="G389" s="98"/>
    </row>
    <row r="390" spans="7:7" x14ac:dyDescent="0.3">
      <c r="G390" s="98"/>
    </row>
    <row r="391" spans="7:7" x14ac:dyDescent="0.3">
      <c r="G391" s="98"/>
    </row>
    <row r="392" spans="7:7" x14ac:dyDescent="0.3">
      <c r="G392" s="98"/>
    </row>
    <row r="393" spans="7:7" x14ac:dyDescent="0.3">
      <c r="G393" s="98"/>
    </row>
    <row r="394" spans="7:7" x14ac:dyDescent="0.3">
      <c r="G394" s="98"/>
    </row>
    <row r="395" spans="7:7" x14ac:dyDescent="0.3">
      <c r="G395" s="98"/>
    </row>
    <row r="396" spans="7:7" x14ac:dyDescent="0.3">
      <c r="G396" s="98"/>
    </row>
    <row r="397" spans="7:7" x14ac:dyDescent="0.3">
      <c r="G397" s="98"/>
    </row>
    <row r="398" spans="7:7" x14ac:dyDescent="0.3">
      <c r="G398" s="98"/>
    </row>
    <row r="399" spans="7:7" x14ac:dyDescent="0.3">
      <c r="G399" s="98"/>
    </row>
    <row r="400" spans="7:7" x14ac:dyDescent="0.3">
      <c r="G400" s="98"/>
    </row>
    <row r="401" spans="7:7" x14ac:dyDescent="0.3">
      <c r="G401" s="98"/>
    </row>
    <row r="402" spans="7:7" x14ac:dyDescent="0.3">
      <c r="G402" s="98"/>
    </row>
    <row r="403" spans="7:7" x14ac:dyDescent="0.3">
      <c r="G403" s="98"/>
    </row>
    <row r="404" spans="7:7" x14ac:dyDescent="0.3">
      <c r="G404" s="98"/>
    </row>
    <row r="405" spans="7:7" x14ac:dyDescent="0.3">
      <c r="G405" s="98"/>
    </row>
    <row r="406" spans="7:7" x14ac:dyDescent="0.3">
      <c r="G406" s="98"/>
    </row>
    <row r="407" spans="7:7" x14ac:dyDescent="0.3">
      <c r="G407" s="98"/>
    </row>
    <row r="408" spans="7:7" x14ac:dyDescent="0.3">
      <c r="G408" s="98"/>
    </row>
    <row r="409" spans="7:7" x14ac:dyDescent="0.3">
      <c r="G409" s="98"/>
    </row>
    <row r="410" spans="7:7" x14ac:dyDescent="0.3">
      <c r="G410" s="98"/>
    </row>
    <row r="411" spans="7:7" x14ac:dyDescent="0.3">
      <c r="G411" s="98"/>
    </row>
    <row r="412" spans="7:7" x14ac:dyDescent="0.3">
      <c r="G412" s="98"/>
    </row>
    <row r="413" spans="7:7" x14ac:dyDescent="0.3">
      <c r="G413" s="98"/>
    </row>
    <row r="414" spans="7:7" x14ac:dyDescent="0.3">
      <c r="G414" s="98"/>
    </row>
    <row r="415" spans="7:7" x14ac:dyDescent="0.3">
      <c r="G415" s="98"/>
    </row>
    <row r="416" spans="7:7" x14ac:dyDescent="0.3">
      <c r="G416" s="98"/>
    </row>
    <row r="417" spans="7:7" x14ac:dyDescent="0.3">
      <c r="G417" s="98"/>
    </row>
    <row r="418" spans="7:7" x14ac:dyDescent="0.3">
      <c r="G418" s="98"/>
    </row>
    <row r="419" spans="7:7" x14ac:dyDescent="0.3">
      <c r="G419" s="98"/>
    </row>
    <row r="420" spans="7:7" x14ac:dyDescent="0.3">
      <c r="G420" s="98"/>
    </row>
    <row r="421" spans="7:7" x14ac:dyDescent="0.3">
      <c r="G421" s="98"/>
    </row>
    <row r="422" spans="7:7" x14ac:dyDescent="0.3">
      <c r="G422" s="98"/>
    </row>
    <row r="423" spans="7:7" x14ac:dyDescent="0.3">
      <c r="G423" s="98"/>
    </row>
    <row r="424" spans="7:7" x14ac:dyDescent="0.3">
      <c r="G424" s="98"/>
    </row>
    <row r="425" spans="7:7" x14ac:dyDescent="0.3">
      <c r="G425" s="98"/>
    </row>
    <row r="426" spans="7:7" x14ac:dyDescent="0.3">
      <c r="G426" s="98"/>
    </row>
    <row r="427" spans="7:7" x14ac:dyDescent="0.3">
      <c r="G427" s="98"/>
    </row>
    <row r="428" spans="7:7" x14ac:dyDescent="0.3">
      <c r="G428" s="98"/>
    </row>
    <row r="429" spans="7:7" x14ac:dyDescent="0.3">
      <c r="G429" s="98"/>
    </row>
    <row r="430" spans="7:7" x14ac:dyDescent="0.3">
      <c r="G430" s="98"/>
    </row>
    <row r="431" spans="7:7" x14ac:dyDescent="0.3">
      <c r="G431" s="98"/>
    </row>
    <row r="432" spans="7:7" x14ac:dyDescent="0.3">
      <c r="G432" s="98"/>
    </row>
    <row r="433" spans="7:7" x14ac:dyDescent="0.3">
      <c r="G433" s="98"/>
    </row>
    <row r="434" spans="7:7" x14ac:dyDescent="0.3">
      <c r="G434" s="98"/>
    </row>
    <row r="435" spans="7:7" x14ac:dyDescent="0.3">
      <c r="G435" s="98"/>
    </row>
    <row r="436" spans="7:7" x14ac:dyDescent="0.3">
      <c r="G436" s="98"/>
    </row>
    <row r="437" spans="7:7" x14ac:dyDescent="0.3">
      <c r="G437" s="98"/>
    </row>
    <row r="438" spans="7:7" x14ac:dyDescent="0.3">
      <c r="G438" s="98"/>
    </row>
    <row r="439" spans="7:7" x14ac:dyDescent="0.3">
      <c r="G439" s="98"/>
    </row>
    <row r="440" spans="7:7" x14ac:dyDescent="0.3">
      <c r="G440" s="98"/>
    </row>
    <row r="441" spans="7:7" x14ac:dyDescent="0.3">
      <c r="G441" s="98"/>
    </row>
    <row r="442" spans="7:7" x14ac:dyDescent="0.3">
      <c r="G442" s="98"/>
    </row>
    <row r="443" spans="7:7" x14ac:dyDescent="0.3">
      <c r="G443" s="98"/>
    </row>
    <row r="444" spans="7:7" x14ac:dyDescent="0.3">
      <c r="G444" s="98"/>
    </row>
    <row r="445" spans="7:7" x14ac:dyDescent="0.3">
      <c r="G445" s="98"/>
    </row>
    <row r="446" spans="7:7" x14ac:dyDescent="0.3">
      <c r="G446" s="98"/>
    </row>
    <row r="447" spans="7:7" x14ac:dyDescent="0.3">
      <c r="G447" s="98"/>
    </row>
    <row r="448" spans="7:7" x14ac:dyDescent="0.3">
      <c r="G448" s="98"/>
    </row>
    <row r="449" spans="7:7" x14ac:dyDescent="0.3">
      <c r="G449" s="98"/>
    </row>
    <row r="450" spans="7:7" x14ac:dyDescent="0.3">
      <c r="G450" s="98"/>
    </row>
    <row r="451" spans="7:7" x14ac:dyDescent="0.3">
      <c r="G451" s="98"/>
    </row>
    <row r="452" spans="7:7" x14ac:dyDescent="0.3">
      <c r="G452" s="98"/>
    </row>
    <row r="453" spans="7:7" x14ac:dyDescent="0.3">
      <c r="G453" s="98"/>
    </row>
    <row r="454" spans="7:7" x14ac:dyDescent="0.3">
      <c r="G454" s="98"/>
    </row>
    <row r="455" spans="7:7" x14ac:dyDescent="0.3">
      <c r="G455" s="98"/>
    </row>
    <row r="456" spans="7:7" x14ac:dyDescent="0.3">
      <c r="G456" s="98"/>
    </row>
    <row r="457" spans="7:7" x14ac:dyDescent="0.3">
      <c r="G457" s="98"/>
    </row>
    <row r="458" spans="7:7" x14ac:dyDescent="0.3">
      <c r="G458" s="98"/>
    </row>
    <row r="459" spans="7:7" x14ac:dyDescent="0.3">
      <c r="G459" s="98"/>
    </row>
    <row r="460" spans="7:7" x14ac:dyDescent="0.3">
      <c r="G460" s="98"/>
    </row>
    <row r="461" spans="7:7" x14ac:dyDescent="0.3">
      <c r="G461" s="98"/>
    </row>
    <row r="462" spans="7:7" x14ac:dyDescent="0.3">
      <c r="G462" s="98"/>
    </row>
    <row r="463" spans="7:7" x14ac:dyDescent="0.3">
      <c r="G463" s="98"/>
    </row>
    <row r="464" spans="7:7" x14ac:dyDescent="0.3">
      <c r="G464" s="98"/>
    </row>
    <row r="465" spans="7:7" x14ac:dyDescent="0.3">
      <c r="G465" s="98"/>
    </row>
    <row r="466" spans="7:7" x14ac:dyDescent="0.3">
      <c r="G466" s="98"/>
    </row>
    <row r="467" spans="7:7" x14ac:dyDescent="0.3">
      <c r="G467" s="98"/>
    </row>
    <row r="468" spans="7:7" x14ac:dyDescent="0.3">
      <c r="G468" s="98"/>
    </row>
    <row r="469" spans="7:7" x14ac:dyDescent="0.3">
      <c r="G469" s="98"/>
    </row>
    <row r="470" spans="7:7" x14ac:dyDescent="0.3">
      <c r="G470" s="98"/>
    </row>
    <row r="471" spans="7:7" x14ac:dyDescent="0.3">
      <c r="G471" s="98"/>
    </row>
    <row r="472" spans="7:7" x14ac:dyDescent="0.3">
      <c r="G472" s="98"/>
    </row>
    <row r="473" spans="7:7" x14ac:dyDescent="0.3">
      <c r="G473" s="98"/>
    </row>
    <row r="474" spans="7:7" x14ac:dyDescent="0.3">
      <c r="G474" s="98"/>
    </row>
    <row r="475" spans="7:7" x14ac:dyDescent="0.3">
      <c r="G475" s="98"/>
    </row>
    <row r="476" spans="7:7" x14ac:dyDescent="0.3">
      <c r="G476" s="98"/>
    </row>
    <row r="477" spans="7:7" x14ac:dyDescent="0.3">
      <c r="G477" s="98"/>
    </row>
    <row r="478" spans="7:7" x14ac:dyDescent="0.3">
      <c r="G478" s="98"/>
    </row>
    <row r="479" spans="7:7" x14ac:dyDescent="0.3">
      <c r="G479" s="98"/>
    </row>
    <row r="480" spans="7:7" x14ac:dyDescent="0.3">
      <c r="G480" s="98"/>
    </row>
    <row r="481" spans="7:7" x14ac:dyDescent="0.3">
      <c r="G481" s="98"/>
    </row>
    <row r="482" spans="7:7" x14ac:dyDescent="0.3">
      <c r="G482" s="98"/>
    </row>
    <row r="483" spans="7:7" x14ac:dyDescent="0.3">
      <c r="G483" s="98"/>
    </row>
    <row r="484" spans="7:7" x14ac:dyDescent="0.3">
      <c r="G484" s="98"/>
    </row>
    <row r="485" spans="7:7" x14ac:dyDescent="0.3">
      <c r="G485" s="98"/>
    </row>
    <row r="486" spans="7:7" x14ac:dyDescent="0.3">
      <c r="G486" s="98"/>
    </row>
    <row r="487" spans="7:7" x14ac:dyDescent="0.3">
      <c r="G487" s="98"/>
    </row>
    <row r="488" spans="7:7" x14ac:dyDescent="0.3">
      <c r="G488" s="98"/>
    </row>
    <row r="489" spans="7:7" x14ac:dyDescent="0.3">
      <c r="G489" s="98"/>
    </row>
    <row r="490" spans="7:7" x14ac:dyDescent="0.3">
      <c r="G490" s="98"/>
    </row>
    <row r="491" spans="7:7" x14ac:dyDescent="0.3">
      <c r="G491" s="98"/>
    </row>
    <row r="492" spans="7:7" x14ac:dyDescent="0.3">
      <c r="G492" s="98"/>
    </row>
    <row r="493" spans="7:7" x14ac:dyDescent="0.3">
      <c r="G493" s="98"/>
    </row>
    <row r="494" spans="7:7" x14ac:dyDescent="0.3">
      <c r="G494" s="98"/>
    </row>
    <row r="495" spans="7:7" x14ac:dyDescent="0.3">
      <c r="G495" s="98"/>
    </row>
    <row r="496" spans="7:7" x14ac:dyDescent="0.3">
      <c r="G496" s="98"/>
    </row>
    <row r="497" spans="7:7" x14ac:dyDescent="0.3">
      <c r="G497" s="98"/>
    </row>
    <row r="498" spans="7:7" x14ac:dyDescent="0.3">
      <c r="G498" s="98"/>
    </row>
    <row r="499" spans="7:7" x14ac:dyDescent="0.3">
      <c r="G499" s="98"/>
    </row>
    <row r="500" spans="7:7" x14ac:dyDescent="0.3">
      <c r="G500" s="98"/>
    </row>
    <row r="501" spans="7:7" x14ac:dyDescent="0.3">
      <c r="G501" s="98"/>
    </row>
    <row r="502" spans="7:7" x14ac:dyDescent="0.3">
      <c r="G502" s="98"/>
    </row>
    <row r="503" spans="7:7" x14ac:dyDescent="0.3">
      <c r="G503" s="98"/>
    </row>
    <row r="504" spans="7:7" x14ac:dyDescent="0.3">
      <c r="G504" s="98"/>
    </row>
    <row r="505" spans="7:7" x14ac:dyDescent="0.3">
      <c r="G505" s="98"/>
    </row>
    <row r="506" spans="7:7" x14ac:dyDescent="0.3">
      <c r="G506" s="98"/>
    </row>
    <row r="507" spans="7:7" x14ac:dyDescent="0.3">
      <c r="G507" s="98"/>
    </row>
    <row r="508" spans="7:7" x14ac:dyDescent="0.3">
      <c r="G508" s="98"/>
    </row>
    <row r="509" spans="7:7" x14ac:dyDescent="0.3">
      <c r="G509" s="98"/>
    </row>
    <row r="510" spans="7:7" x14ac:dyDescent="0.3">
      <c r="G510" s="98"/>
    </row>
    <row r="511" spans="7:7" x14ac:dyDescent="0.3">
      <c r="G511" s="98"/>
    </row>
    <row r="512" spans="7:7" x14ac:dyDescent="0.3">
      <c r="G512" s="98"/>
    </row>
    <row r="513" spans="7:7" x14ac:dyDescent="0.3">
      <c r="G513" s="98"/>
    </row>
    <row r="514" spans="7:7" x14ac:dyDescent="0.3">
      <c r="G514" s="98"/>
    </row>
    <row r="515" spans="7:7" x14ac:dyDescent="0.3">
      <c r="G515" s="98"/>
    </row>
    <row r="516" spans="7:7" x14ac:dyDescent="0.3">
      <c r="G516" s="98"/>
    </row>
    <row r="517" spans="7:7" x14ac:dyDescent="0.3">
      <c r="G517" s="98"/>
    </row>
    <row r="518" spans="7:7" x14ac:dyDescent="0.3">
      <c r="G518" s="98"/>
    </row>
    <row r="519" spans="7:7" x14ac:dyDescent="0.3">
      <c r="G519" s="98"/>
    </row>
    <row r="520" spans="7:7" x14ac:dyDescent="0.3">
      <c r="G520" s="98"/>
    </row>
    <row r="521" spans="7:7" x14ac:dyDescent="0.3">
      <c r="G521" s="98"/>
    </row>
    <row r="522" spans="7:7" x14ac:dyDescent="0.3">
      <c r="G522" s="98"/>
    </row>
    <row r="523" spans="7:7" x14ac:dyDescent="0.3">
      <c r="G523" s="98"/>
    </row>
    <row r="524" spans="7:7" x14ac:dyDescent="0.3">
      <c r="G524" s="98"/>
    </row>
    <row r="525" spans="7:7" x14ac:dyDescent="0.3">
      <c r="G525" s="98"/>
    </row>
    <row r="526" spans="7:7" x14ac:dyDescent="0.3">
      <c r="G526" s="98"/>
    </row>
    <row r="527" spans="7:7" x14ac:dyDescent="0.3">
      <c r="G527" s="98"/>
    </row>
    <row r="528" spans="7:7" x14ac:dyDescent="0.3">
      <c r="G528" s="98"/>
    </row>
    <row r="529" spans="7:7" x14ac:dyDescent="0.3">
      <c r="G529" s="98"/>
    </row>
    <row r="530" spans="7:7" x14ac:dyDescent="0.3">
      <c r="G530" s="98"/>
    </row>
    <row r="531" spans="7:7" x14ac:dyDescent="0.3">
      <c r="G531" s="98"/>
    </row>
    <row r="532" spans="7:7" x14ac:dyDescent="0.3">
      <c r="G532" s="98"/>
    </row>
    <row r="533" spans="7:7" x14ac:dyDescent="0.3">
      <c r="G533" s="98"/>
    </row>
    <row r="534" spans="7:7" x14ac:dyDescent="0.3">
      <c r="G534" s="98"/>
    </row>
    <row r="535" spans="7:7" x14ac:dyDescent="0.3">
      <c r="G535" s="98"/>
    </row>
    <row r="536" spans="7:7" x14ac:dyDescent="0.3">
      <c r="G536" s="98"/>
    </row>
    <row r="537" spans="7:7" x14ac:dyDescent="0.3">
      <c r="G537" s="98"/>
    </row>
    <row r="538" spans="7:7" x14ac:dyDescent="0.3">
      <c r="G538" s="98"/>
    </row>
    <row r="539" spans="7:7" x14ac:dyDescent="0.3">
      <c r="G539" s="98"/>
    </row>
    <row r="540" spans="7:7" x14ac:dyDescent="0.3">
      <c r="G540" s="98"/>
    </row>
    <row r="541" spans="7:7" x14ac:dyDescent="0.3">
      <c r="G541" s="98"/>
    </row>
    <row r="542" spans="7:7" x14ac:dyDescent="0.3">
      <c r="G542" s="98"/>
    </row>
    <row r="543" spans="7:7" x14ac:dyDescent="0.3">
      <c r="G543" s="98"/>
    </row>
    <row r="544" spans="7:7" x14ac:dyDescent="0.3">
      <c r="G544" s="98"/>
    </row>
    <row r="545" spans="7:7" x14ac:dyDescent="0.3">
      <c r="G545" s="98"/>
    </row>
    <row r="546" spans="7:7" x14ac:dyDescent="0.3">
      <c r="G546" s="98"/>
    </row>
    <row r="547" spans="7:7" x14ac:dyDescent="0.3">
      <c r="G547" s="98"/>
    </row>
    <row r="548" spans="7:7" x14ac:dyDescent="0.3">
      <c r="G548" s="98"/>
    </row>
    <row r="549" spans="7:7" x14ac:dyDescent="0.3">
      <c r="G549" s="98"/>
    </row>
    <row r="550" spans="7:7" x14ac:dyDescent="0.3">
      <c r="G550" s="98"/>
    </row>
    <row r="551" spans="7:7" x14ac:dyDescent="0.3">
      <c r="G551" s="98"/>
    </row>
    <row r="552" spans="7:7" x14ac:dyDescent="0.3">
      <c r="G552" s="98"/>
    </row>
    <row r="553" spans="7:7" x14ac:dyDescent="0.3">
      <c r="G553" s="98"/>
    </row>
    <row r="554" spans="7:7" x14ac:dyDescent="0.3">
      <c r="G554" s="98"/>
    </row>
    <row r="555" spans="7:7" x14ac:dyDescent="0.3">
      <c r="G555" s="98"/>
    </row>
    <row r="556" spans="7:7" x14ac:dyDescent="0.3">
      <c r="G556" s="98"/>
    </row>
    <row r="557" spans="7:7" x14ac:dyDescent="0.3">
      <c r="G557" s="98"/>
    </row>
    <row r="558" spans="7:7" x14ac:dyDescent="0.3">
      <c r="G558" s="98"/>
    </row>
    <row r="559" spans="7:7" x14ac:dyDescent="0.3">
      <c r="G559" s="98"/>
    </row>
    <row r="560" spans="7:7" x14ac:dyDescent="0.3">
      <c r="G560" s="98"/>
    </row>
    <row r="561" spans="7:7" x14ac:dyDescent="0.3">
      <c r="G561" s="98"/>
    </row>
    <row r="562" spans="7:7" x14ac:dyDescent="0.3">
      <c r="G562" s="98"/>
    </row>
    <row r="563" spans="7:7" x14ac:dyDescent="0.3">
      <c r="G563" s="98"/>
    </row>
    <row r="564" spans="7:7" x14ac:dyDescent="0.3">
      <c r="G564" s="98"/>
    </row>
    <row r="565" spans="7:7" x14ac:dyDescent="0.3">
      <c r="G565" s="98"/>
    </row>
    <row r="566" spans="7:7" x14ac:dyDescent="0.3">
      <c r="G566" s="98"/>
    </row>
    <row r="567" spans="7:7" x14ac:dyDescent="0.3">
      <c r="G567" s="98"/>
    </row>
    <row r="568" spans="7:7" x14ac:dyDescent="0.3">
      <c r="G568" s="98"/>
    </row>
    <row r="569" spans="7:7" x14ac:dyDescent="0.3">
      <c r="G569" s="98"/>
    </row>
    <row r="570" spans="7:7" x14ac:dyDescent="0.3">
      <c r="G570" s="98"/>
    </row>
    <row r="571" spans="7:7" x14ac:dyDescent="0.3">
      <c r="G571" s="98"/>
    </row>
    <row r="572" spans="7:7" x14ac:dyDescent="0.3">
      <c r="G572" s="98"/>
    </row>
    <row r="573" spans="7:7" x14ac:dyDescent="0.3">
      <c r="G573" s="98"/>
    </row>
    <row r="574" spans="7:7" x14ac:dyDescent="0.3">
      <c r="G574" s="98"/>
    </row>
    <row r="575" spans="7:7" x14ac:dyDescent="0.3">
      <c r="G575" s="98"/>
    </row>
    <row r="576" spans="7:7" x14ac:dyDescent="0.3">
      <c r="G576" s="98"/>
    </row>
    <row r="577" spans="7:7" x14ac:dyDescent="0.3">
      <c r="G577" s="98"/>
    </row>
    <row r="578" spans="7:7" x14ac:dyDescent="0.3">
      <c r="G578" s="98"/>
    </row>
    <row r="579" spans="7:7" x14ac:dyDescent="0.3">
      <c r="G579" s="98"/>
    </row>
    <row r="580" spans="7:7" x14ac:dyDescent="0.3">
      <c r="G580" s="98"/>
    </row>
    <row r="581" spans="7:7" x14ac:dyDescent="0.3">
      <c r="G581" s="98"/>
    </row>
    <row r="582" spans="7:7" x14ac:dyDescent="0.3">
      <c r="G582" s="98"/>
    </row>
    <row r="583" spans="7:7" x14ac:dyDescent="0.3">
      <c r="G583" s="98"/>
    </row>
    <row r="584" spans="7:7" x14ac:dyDescent="0.3">
      <c r="G584" s="98"/>
    </row>
    <row r="585" spans="7:7" x14ac:dyDescent="0.3">
      <c r="G585" s="98"/>
    </row>
    <row r="586" spans="7:7" x14ac:dyDescent="0.3">
      <c r="G586" s="98"/>
    </row>
    <row r="587" spans="7:7" x14ac:dyDescent="0.3">
      <c r="G587" s="98"/>
    </row>
    <row r="588" spans="7:7" x14ac:dyDescent="0.3">
      <c r="G588" s="98"/>
    </row>
    <row r="589" spans="7:7" x14ac:dyDescent="0.3">
      <c r="G589" s="98"/>
    </row>
    <row r="590" spans="7:7" x14ac:dyDescent="0.3">
      <c r="G590" s="98"/>
    </row>
    <row r="591" spans="7:7" x14ac:dyDescent="0.3">
      <c r="G591" s="98"/>
    </row>
    <row r="592" spans="7:7" x14ac:dyDescent="0.3">
      <c r="G592" s="98"/>
    </row>
    <row r="593" spans="7:7" x14ac:dyDescent="0.3">
      <c r="G593" s="98"/>
    </row>
    <row r="594" spans="7:7" x14ac:dyDescent="0.3">
      <c r="G594" s="98"/>
    </row>
    <row r="595" spans="7:7" x14ac:dyDescent="0.3">
      <c r="G595" s="98"/>
    </row>
    <row r="596" spans="7:7" x14ac:dyDescent="0.3">
      <c r="G596" s="98"/>
    </row>
    <row r="597" spans="7:7" x14ac:dyDescent="0.3">
      <c r="G597" s="98"/>
    </row>
    <row r="598" spans="7:7" x14ac:dyDescent="0.3">
      <c r="G598" s="98"/>
    </row>
    <row r="599" spans="7:7" x14ac:dyDescent="0.3">
      <c r="G599" s="98"/>
    </row>
    <row r="600" spans="7:7" x14ac:dyDescent="0.3">
      <c r="G600" s="98"/>
    </row>
    <row r="601" spans="7:7" x14ac:dyDescent="0.3">
      <c r="G601" s="98"/>
    </row>
    <row r="602" spans="7:7" x14ac:dyDescent="0.3">
      <c r="G602" s="98"/>
    </row>
    <row r="603" spans="7:7" x14ac:dyDescent="0.3">
      <c r="G603" s="98"/>
    </row>
    <row r="604" spans="7:7" x14ac:dyDescent="0.3">
      <c r="G604" s="98"/>
    </row>
    <row r="605" spans="7:7" x14ac:dyDescent="0.3">
      <c r="G605" s="98"/>
    </row>
    <row r="606" spans="7:7" x14ac:dyDescent="0.3">
      <c r="G606" s="98"/>
    </row>
    <row r="607" spans="7:7" x14ac:dyDescent="0.3">
      <c r="G607" s="98"/>
    </row>
    <row r="608" spans="7:7" x14ac:dyDescent="0.3">
      <c r="G608" s="98"/>
    </row>
    <row r="609" spans="7:7" x14ac:dyDescent="0.3">
      <c r="G609" s="98"/>
    </row>
    <row r="610" spans="7:7" x14ac:dyDescent="0.3">
      <c r="G610" s="98"/>
    </row>
    <row r="611" spans="7:7" x14ac:dyDescent="0.3">
      <c r="G611" s="98"/>
    </row>
    <row r="612" spans="7:7" x14ac:dyDescent="0.3">
      <c r="G612" s="98"/>
    </row>
    <row r="613" spans="7:7" x14ac:dyDescent="0.3">
      <c r="G613" s="98"/>
    </row>
    <row r="614" spans="7:7" x14ac:dyDescent="0.3">
      <c r="G614" s="98"/>
    </row>
    <row r="615" spans="7:7" x14ac:dyDescent="0.3">
      <c r="G615" s="98"/>
    </row>
    <row r="616" spans="7:7" x14ac:dyDescent="0.3">
      <c r="G616" s="98"/>
    </row>
    <row r="617" spans="7:7" x14ac:dyDescent="0.3">
      <c r="G617" s="98"/>
    </row>
    <row r="618" spans="7:7" x14ac:dyDescent="0.3">
      <c r="G618" s="98"/>
    </row>
    <row r="619" spans="7:7" x14ac:dyDescent="0.3">
      <c r="G619" s="98"/>
    </row>
    <row r="620" spans="7:7" x14ac:dyDescent="0.3">
      <c r="G620" s="98"/>
    </row>
    <row r="621" spans="7:7" x14ac:dyDescent="0.3">
      <c r="G621" s="98"/>
    </row>
    <row r="622" spans="7:7" x14ac:dyDescent="0.3">
      <c r="G622" s="98"/>
    </row>
    <row r="623" spans="7:7" x14ac:dyDescent="0.3">
      <c r="G623" s="98"/>
    </row>
    <row r="624" spans="7:7" x14ac:dyDescent="0.3">
      <c r="G624" s="98"/>
    </row>
    <row r="625" spans="7:7" x14ac:dyDescent="0.3">
      <c r="G625" s="98"/>
    </row>
    <row r="626" spans="7:7" x14ac:dyDescent="0.3">
      <c r="G626" s="98"/>
    </row>
    <row r="627" spans="7:7" x14ac:dyDescent="0.3">
      <c r="G627" s="98"/>
    </row>
    <row r="628" spans="7:7" x14ac:dyDescent="0.3">
      <c r="G628" s="98"/>
    </row>
    <row r="629" spans="7:7" x14ac:dyDescent="0.3">
      <c r="G629" s="98"/>
    </row>
    <row r="630" spans="7:7" x14ac:dyDescent="0.3">
      <c r="G630" s="98"/>
    </row>
    <row r="631" spans="7:7" x14ac:dyDescent="0.3">
      <c r="G631" s="98"/>
    </row>
    <row r="632" spans="7:7" x14ac:dyDescent="0.3">
      <c r="G632" s="98"/>
    </row>
    <row r="633" spans="7:7" x14ac:dyDescent="0.3">
      <c r="G633" s="98"/>
    </row>
    <row r="634" spans="7:7" x14ac:dyDescent="0.3">
      <c r="G634" s="98"/>
    </row>
    <row r="635" spans="7:7" x14ac:dyDescent="0.3">
      <c r="G635" s="98"/>
    </row>
    <row r="636" spans="7:7" x14ac:dyDescent="0.3">
      <c r="G636" s="98"/>
    </row>
    <row r="637" spans="7:7" x14ac:dyDescent="0.3">
      <c r="G637" s="98"/>
    </row>
    <row r="638" spans="7:7" x14ac:dyDescent="0.3">
      <c r="G638" s="98"/>
    </row>
    <row r="639" spans="7:7" x14ac:dyDescent="0.3">
      <c r="G639" s="98"/>
    </row>
    <row r="640" spans="7:7" x14ac:dyDescent="0.3">
      <c r="G640" s="98"/>
    </row>
    <row r="641" spans="7:7" x14ac:dyDescent="0.3">
      <c r="G641" s="98"/>
    </row>
    <row r="642" spans="7:7" x14ac:dyDescent="0.3">
      <c r="G642" s="98"/>
    </row>
    <row r="643" spans="7:7" x14ac:dyDescent="0.3">
      <c r="G643" s="98"/>
    </row>
    <row r="644" spans="7:7" x14ac:dyDescent="0.3">
      <c r="G644" s="98"/>
    </row>
    <row r="645" spans="7:7" x14ac:dyDescent="0.3">
      <c r="G645" s="98"/>
    </row>
    <row r="646" spans="7:7" x14ac:dyDescent="0.3">
      <c r="G646" s="98"/>
    </row>
    <row r="647" spans="7:7" x14ac:dyDescent="0.3">
      <c r="G647" s="98"/>
    </row>
    <row r="648" spans="7:7" x14ac:dyDescent="0.3">
      <c r="G648" s="98"/>
    </row>
    <row r="649" spans="7:7" x14ac:dyDescent="0.3">
      <c r="G649" s="98"/>
    </row>
    <row r="650" spans="7:7" x14ac:dyDescent="0.3">
      <c r="G650" s="98"/>
    </row>
    <row r="651" spans="7:7" x14ac:dyDescent="0.3">
      <c r="G651" s="98"/>
    </row>
    <row r="652" spans="7:7" x14ac:dyDescent="0.3">
      <c r="G652" s="98"/>
    </row>
    <row r="653" spans="7:7" x14ac:dyDescent="0.3">
      <c r="G653" s="98"/>
    </row>
    <row r="654" spans="7:7" x14ac:dyDescent="0.3">
      <c r="G654" s="98"/>
    </row>
    <row r="655" spans="7:7" x14ac:dyDescent="0.3">
      <c r="G655" s="98"/>
    </row>
    <row r="656" spans="7:7" x14ac:dyDescent="0.3">
      <c r="G656" s="98"/>
    </row>
    <row r="657" spans="7:7" x14ac:dyDescent="0.3">
      <c r="G657" s="98"/>
    </row>
    <row r="658" spans="7:7" x14ac:dyDescent="0.3">
      <c r="G658" s="98"/>
    </row>
    <row r="659" spans="7:7" x14ac:dyDescent="0.3">
      <c r="G659" s="98"/>
    </row>
    <row r="660" spans="7:7" x14ac:dyDescent="0.3">
      <c r="G660" s="98"/>
    </row>
    <row r="661" spans="7:7" x14ac:dyDescent="0.3">
      <c r="G661" s="98"/>
    </row>
    <row r="662" spans="7:7" x14ac:dyDescent="0.3">
      <c r="G662" s="98"/>
    </row>
    <row r="663" spans="7:7" x14ac:dyDescent="0.3">
      <c r="G663" s="98"/>
    </row>
    <row r="664" spans="7:7" x14ac:dyDescent="0.3">
      <c r="G664" s="98"/>
    </row>
    <row r="665" spans="7:7" x14ac:dyDescent="0.3">
      <c r="G665" s="98"/>
    </row>
    <row r="666" spans="7:7" x14ac:dyDescent="0.3">
      <c r="G666" s="98"/>
    </row>
    <row r="667" spans="7:7" x14ac:dyDescent="0.3">
      <c r="G667" s="98"/>
    </row>
    <row r="668" spans="7:7" x14ac:dyDescent="0.3">
      <c r="G668" s="98"/>
    </row>
    <row r="669" spans="7:7" x14ac:dyDescent="0.3">
      <c r="G669" s="98"/>
    </row>
    <row r="670" spans="7:7" x14ac:dyDescent="0.3">
      <c r="G670" s="98"/>
    </row>
    <row r="671" spans="7:7" x14ac:dyDescent="0.3">
      <c r="G671" s="98"/>
    </row>
    <row r="672" spans="7:7" x14ac:dyDescent="0.3">
      <c r="G672" s="98"/>
    </row>
    <row r="673" spans="7:7" x14ac:dyDescent="0.3">
      <c r="G673" s="98"/>
    </row>
    <row r="674" spans="7:7" x14ac:dyDescent="0.3">
      <c r="G674" s="98"/>
    </row>
    <row r="675" spans="7:7" x14ac:dyDescent="0.3">
      <c r="G675" s="98"/>
    </row>
    <row r="676" spans="7:7" x14ac:dyDescent="0.3">
      <c r="G676" s="98"/>
    </row>
    <row r="677" spans="7:7" x14ac:dyDescent="0.3">
      <c r="G677" s="98"/>
    </row>
    <row r="678" spans="7:7" x14ac:dyDescent="0.3">
      <c r="G678" s="98"/>
    </row>
    <row r="679" spans="7:7" x14ac:dyDescent="0.3">
      <c r="G679" s="98"/>
    </row>
    <row r="680" spans="7:7" x14ac:dyDescent="0.3">
      <c r="G680" s="98"/>
    </row>
    <row r="681" spans="7:7" x14ac:dyDescent="0.3">
      <c r="G681" s="98"/>
    </row>
    <row r="682" spans="7:7" x14ac:dyDescent="0.3">
      <c r="G682" s="98"/>
    </row>
    <row r="683" spans="7:7" x14ac:dyDescent="0.3">
      <c r="G683" s="98"/>
    </row>
    <row r="684" spans="7:7" x14ac:dyDescent="0.3">
      <c r="G684" s="98"/>
    </row>
    <row r="685" spans="7:7" x14ac:dyDescent="0.3">
      <c r="G685" s="98"/>
    </row>
    <row r="686" spans="7:7" x14ac:dyDescent="0.3">
      <c r="G686" s="98"/>
    </row>
    <row r="687" spans="7:7" x14ac:dyDescent="0.3">
      <c r="G687" s="98"/>
    </row>
    <row r="688" spans="7:7" x14ac:dyDescent="0.3">
      <c r="G688" s="98"/>
    </row>
    <row r="689" spans="7:7" x14ac:dyDescent="0.3">
      <c r="G689" s="98"/>
    </row>
    <row r="690" spans="7:7" x14ac:dyDescent="0.3">
      <c r="G690" s="98"/>
    </row>
    <row r="691" spans="7:7" x14ac:dyDescent="0.3">
      <c r="G691" s="98"/>
    </row>
    <row r="692" spans="7:7" x14ac:dyDescent="0.3">
      <c r="G692" s="98"/>
    </row>
    <row r="693" spans="7:7" x14ac:dyDescent="0.3">
      <c r="G693" s="98"/>
    </row>
    <row r="694" spans="7:7" x14ac:dyDescent="0.3">
      <c r="G694" s="98"/>
    </row>
    <row r="695" spans="7:7" x14ac:dyDescent="0.3">
      <c r="G695" s="98"/>
    </row>
    <row r="696" spans="7:7" x14ac:dyDescent="0.3">
      <c r="G696" s="98"/>
    </row>
    <row r="697" spans="7:7" x14ac:dyDescent="0.3">
      <c r="G697" s="98"/>
    </row>
    <row r="698" spans="7:7" x14ac:dyDescent="0.3">
      <c r="G698" s="98"/>
    </row>
    <row r="699" spans="7:7" x14ac:dyDescent="0.3">
      <c r="G699" s="98"/>
    </row>
    <row r="700" spans="7:7" x14ac:dyDescent="0.3">
      <c r="G700" s="98"/>
    </row>
    <row r="701" spans="7:7" x14ac:dyDescent="0.3">
      <c r="G701" s="98"/>
    </row>
    <row r="702" spans="7:7" x14ac:dyDescent="0.3">
      <c r="G702" s="98"/>
    </row>
    <row r="703" spans="7:7" x14ac:dyDescent="0.3">
      <c r="G703" s="98"/>
    </row>
    <row r="704" spans="7:7" x14ac:dyDescent="0.3">
      <c r="G704" s="98"/>
    </row>
    <row r="705" spans="7:7" x14ac:dyDescent="0.3">
      <c r="G705" s="98"/>
    </row>
    <row r="706" spans="7:7" x14ac:dyDescent="0.3">
      <c r="G706" s="98"/>
    </row>
    <row r="707" spans="7:7" x14ac:dyDescent="0.3">
      <c r="G707" s="98"/>
    </row>
    <row r="708" spans="7:7" x14ac:dyDescent="0.3">
      <c r="G708" s="98"/>
    </row>
    <row r="709" spans="7:7" x14ac:dyDescent="0.3">
      <c r="G709" s="98"/>
    </row>
    <row r="710" spans="7:7" x14ac:dyDescent="0.3">
      <c r="G710" s="98"/>
    </row>
    <row r="711" spans="7:7" x14ac:dyDescent="0.3">
      <c r="G711" s="98"/>
    </row>
    <row r="712" spans="7:7" x14ac:dyDescent="0.3">
      <c r="G712" s="98"/>
    </row>
    <row r="713" spans="7:7" x14ac:dyDescent="0.3">
      <c r="G713" s="98"/>
    </row>
    <row r="714" spans="7:7" x14ac:dyDescent="0.3">
      <c r="G714" s="98"/>
    </row>
    <row r="715" spans="7:7" x14ac:dyDescent="0.3">
      <c r="G715" s="98"/>
    </row>
    <row r="716" spans="7:7" x14ac:dyDescent="0.3">
      <c r="G716" s="98"/>
    </row>
    <row r="717" spans="7:7" x14ac:dyDescent="0.3">
      <c r="G717" s="98"/>
    </row>
    <row r="718" spans="7:7" x14ac:dyDescent="0.3">
      <c r="G718" s="98"/>
    </row>
    <row r="719" spans="7:7" x14ac:dyDescent="0.3">
      <c r="G719" s="98"/>
    </row>
    <row r="720" spans="7:7" x14ac:dyDescent="0.3">
      <c r="G720" s="98"/>
    </row>
    <row r="721" spans="7:7" x14ac:dyDescent="0.3">
      <c r="G721" s="98"/>
    </row>
    <row r="722" spans="7:7" x14ac:dyDescent="0.3">
      <c r="G722" s="98"/>
    </row>
    <row r="723" spans="7:7" x14ac:dyDescent="0.3">
      <c r="G723" s="98"/>
    </row>
    <row r="724" spans="7:7" x14ac:dyDescent="0.3">
      <c r="G724" s="98"/>
    </row>
    <row r="725" spans="7:7" x14ac:dyDescent="0.3">
      <c r="G725" s="98"/>
    </row>
    <row r="726" spans="7:7" x14ac:dyDescent="0.3">
      <c r="G726" s="98"/>
    </row>
    <row r="727" spans="7:7" x14ac:dyDescent="0.3">
      <c r="G727" s="98"/>
    </row>
    <row r="728" spans="7:7" x14ac:dyDescent="0.3">
      <c r="G728" s="98"/>
    </row>
    <row r="729" spans="7:7" x14ac:dyDescent="0.3">
      <c r="G729" s="98"/>
    </row>
    <row r="730" spans="7:7" x14ac:dyDescent="0.3">
      <c r="G730" s="98"/>
    </row>
    <row r="731" spans="7:7" x14ac:dyDescent="0.3">
      <c r="G731" s="98"/>
    </row>
    <row r="732" spans="7:7" x14ac:dyDescent="0.3">
      <c r="G732" s="98"/>
    </row>
    <row r="733" spans="7:7" x14ac:dyDescent="0.3">
      <c r="G733" s="98"/>
    </row>
    <row r="734" spans="7:7" x14ac:dyDescent="0.3">
      <c r="G734" s="98"/>
    </row>
    <row r="735" spans="7:7" x14ac:dyDescent="0.3">
      <c r="G735" s="98"/>
    </row>
    <row r="736" spans="7:7" x14ac:dyDescent="0.3">
      <c r="G736" s="98"/>
    </row>
    <row r="737" spans="7:7" x14ac:dyDescent="0.3">
      <c r="G737" s="98"/>
    </row>
    <row r="738" spans="7:7" x14ac:dyDescent="0.3">
      <c r="G738" s="98"/>
    </row>
    <row r="739" spans="7:7" x14ac:dyDescent="0.3">
      <c r="G739" s="98"/>
    </row>
    <row r="740" spans="7:7" x14ac:dyDescent="0.3">
      <c r="G740" s="98"/>
    </row>
    <row r="741" spans="7:7" x14ac:dyDescent="0.3">
      <c r="G741" s="98"/>
    </row>
    <row r="742" spans="7:7" x14ac:dyDescent="0.3">
      <c r="G742" s="98"/>
    </row>
    <row r="743" spans="7:7" x14ac:dyDescent="0.3">
      <c r="G743" s="98"/>
    </row>
    <row r="744" spans="7:7" x14ac:dyDescent="0.3">
      <c r="G744" s="98"/>
    </row>
    <row r="745" spans="7:7" x14ac:dyDescent="0.3">
      <c r="G745" s="98"/>
    </row>
    <row r="746" spans="7:7" x14ac:dyDescent="0.3">
      <c r="G746" s="98"/>
    </row>
    <row r="747" spans="7:7" x14ac:dyDescent="0.3">
      <c r="G747" s="98"/>
    </row>
    <row r="748" spans="7:7" x14ac:dyDescent="0.3">
      <c r="G748" s="98"/>
    </row>
    <row r="749" spans="7:7" x14ac:dyDescent="0.3">
      <c r="G749" s="98"/>
    </row>
    <row r="750" spans="7:7" x14ac:dyDescent="0.3">
      <c r="G750" s="98"/>
    </row>
    <row r="751" spans="7:7" x14ac:dyDescent="0.3">
      <c r="G751" s="98"/>
    </row>
    <row r="752" spans="7:7" x14ac:dyDescent="0.3">
      <c r="G752" s="98"/>
    </row>
    <row r="753" spans="7:7" x14ac:dyDescent="0.3">
      <c r="G753" s="98"/>
    </row>
    <row r="754" spans="7:7" x14ac:dyDescent="0.3">
      <c r="G754" s="98"/>
    </row>
    <row r="755" spans="7:7" x14ac:dyDescent="0.3">
      <c r="G755" s="98"/>
    </row>
    <row r="756" spans="7:7" x14ac:dyDescent="0.3">
      <c r="G756" s="98"/>
    </row>
    <row r="757" spans="7:7" x14ac:dyDescent="0.3">
      <c r="G757" s="98"/>
    </row>
    <row r="758" spans="7:7" x14ac:dyDescent="0.3">
      <c r="G758" s="98"/>
    </row>
    <row r="759" spans="7:7" x14ac:dyDescent="0.3">
      <c r="G759" s="98"/>
    </row>
    <row r="760" spans="7:7" x14ac:dyDescent="0.3">
      <c r="G760" s="98"/>
    </row>
    <row r="761" spans="7:7" x14ac:dyDescent="0.3">
      <c r="G761" s="98"/>
    </row>
    <row r="762" spans="7:7" x14ac:dyDescent="0.3">
      <c r="G762" s="98"/>
    </row>
    <row r="763" spans="7:7" x14ac:dyDescent="0.3">
      <c r="G763" s="98"/>
    </row>
    <row r="764" spans="7:7" x14ac:dyDescent="0.3">
      <c r="G764" s="98"/>
    </row>
    <row r="765" spans="7:7" x14ac:dyDescent="0.3">
      <c r="G765" s="98"/>
    </row>
    <row r="766" spans="7:7" x14ac:dyDescent="0.3">
      <c r="G766" s="98"/>
    </row>
    <row r="767" spans="7:7" x14ac:dyDescent="0.3">
      <c r="G767" s="98"/>
    </row>
    <row r="768" spans="7:7" x14ac:dyDescent="0.3">
      <c r="G768" s="98"/>
    </row>
    <row r="769" spans="7:7" x14ac:dyDescent="0.3">
      <c r="G769" s="98"/>
    </row>
    <row r="770" spans="7:7" x14ac:dyDescent="0.3">
      <c r="G770" s="98"/>
    </row>
    <row r="771" spans="7:7" x14ac:dyDescent="0.3">
      <c r="G771" s="98"/>
    </row>
    <row r="772" spans="7:7" x14ac:dyDescent="0.3">
      <c r="G772" s="98"/>
    </row>
    <row r="773" spans="7:7" x14ac:dyDescent="0.3">
      <c r="G773" s="98"/>
    </row>
    <row r="774" spans="7:7" x14ac:dyDescent="0.3">
      <c r="G774" s="98"/>
    </row>
    <row r="775" spans="7:7" x14ac:dyDescent="0.3">
      <c r="G775" s="98"/>
    </row>
    <row r="776" spans="7:7" x14ac:dyDescent="0.3">
      <c r="G776" s="98"/>
    </row>
    <row r="777" spans="7:7" x14ac:dyDescent="0.3">
      <c r="G777" s="98"/>
    </row>
    <row r="778" spans="7:7" x14ac:dyDescent="0.3">
      <c r="G778" s="98"/>
    </row>
    <row r="779" spans="7:7" x14ac:dyDescent="0.3">
      <c r="G779" s="98"/>
    </row>
    <row r="780" spans="7:7" x14ac:dyDescent="0.3">
      <c r="G780" s="98"/>
    </row>
    <row r="781" spans="7:7" x14ac:dyDescent="0.3">
      <c r="G781" s="98"/>
    </row>
    <row r="782" spans="7:7" x14ac:dyDescent="0.3">
      <c r="G782" s="98"/>
    </row>
    <row r="783" spans="7:7" x14ac:dyDescent="0.3">
      <c r="G783" s="98"/>
    </row>
    <row r="784" spans="7:7" x14ac:dyDescent="0.3">
      <c r="G784" s="98"/>
    </row>
    <row r="785" spans="7:7" x14ac:dyDescent="0.3">
      <c r="G785" s="98"/>
    </row>
    <row r="786" spans="7:7" x14ac:dyDescent="0.3">
      <c r="G786" s="98"/>
    </row>
    <row r="787" spans="7:7" x14ac:dyDescent="0.3">
      <c r="G787" s="98"/>
    </row>
    <row r="788" spans="7:7" x14ac:dyDescent="0.3">
      <c r="G788" s="98"/>
    </row>
    <row r="789" spans="7:7" x14ac:dyDescent="0.3">
      <c r="G789" s="98"/>
    </row>
    <row r="790" spans="7:7" x14ac:dyDescent="0.3">
      <c r="G790" s="98"/>
    </row>
    <row r="791" spans="7:7" x14ac:dyDescent="0.3">
      <c r="G791" s="98"/>
    </row>
    <row r="792" spans="7:7" x14ac:dyDescent="0.3">
      <c r="G792" s="98"/>
    </row>
    <row r="793" spans="7:7" x14ac:dyDescent="0.3">
      <c r="G793" s="98"/>
    </row>
    <row r="794" spans="7:7" x14ac:dyDescent="0.3">
      <c r="G794" s="98"/>
    </row>
    <row r="795" spans="7:7" x14ac:dyDescent="0.3">
      <c r="G795" s="98"/>
    </row>
    <row r="796" spans="7:7" x14ac:dyDescent="0.3">
      <c r="G796" s="98"/>
    </row>
    <row r="797" spans="7:7" x14ac:dyDescent="0.3">
      <c r="G797" s="98"/>
    </row>
    <row r="798" spans="7:7" x14ac:dyDescent="0.3">
      <c r="G798" s="98"/>
    </row>
    <row r="799" spans="7:7" x14ac:dyDescent="0.3">
      <c r="G799" s="98"/>
    </row>
    <row r="800" spans="7:7" x14ac:dyDescent="0.3">
      <c r="G800" s="98"/>
    </row>
    <row r="801" spans="7:7" x14ac:dyDescent="0.3">
      <c r="G801" s="98"/>
    </row>
    <row r="802" spans="7:7" x14ac:dyDescent="0.3">
      <c r="G802" s="98"/>
    </row>
    <row r="803" spans="7:7" x14ac:dyDescent="0.3">
      <c r="G803" s="98"/>
    </row>
    <row r="804" spans="7:7" x14ac:dyDescent="0.3">
      <c r="G804" s="98"/>
    </row>
    <row r="805" spans="7:7" x14ac:dyDescent="0.3">
      <c r="G805" s="98"/>
    </row>
    <row r="806" spans="7:7" x14ac:dyDescent="0.3">
      <c r="G806" s="98"/>
    </row>
    <row r="807" spans="7:7" x14ac:dyDescent="0.3">
      <c r="G807" s="98"/>
    </row>
    <row r="808" spans="7:7" x14ac:dyDescent="0.3">
      <c r="G808" s="98"/>
    </row>
    <row r="809" spans="7:7" x14ac:dyDescent="0.3">
      <c r="G809" s="98"/>
    </row>
    <row r="810" spans="7:7" x14ac:dyDescent="0.3">
      <c r="G810" s="98"/>
    </row>
    <row r="811" spans="7:7" x14ac:dyDescent="0.3">
      <c r="G811" s="98"/>
    </row>
    <row r="812" spans="7:7" x14ac:dyDescent="0.3">
      <c r="G812" s="98"/>
    </row>
    <row r="813" spans="7:7" x14ac:dyDescent="0.3">
      <c r="G813" s="98"/>
    </row>
    <row r="814" spans="7:7" x14ac:dyDescent="0.3">
      <c r="G814" s="98"/>
    </row>
    <row r="815" spans="7:7" x14ac:dyDescent="0.3">
      <c r="G815" s="98"/>
    </row>
    <row r="816" spans="7:7" x14ac:dyDescent="0.3">
      <c r="G816" s="98"/>
    </row>
    <row r="817" spans="7:7" x14ac:dyDescent="0.3">
      <c r="G817" s="98"/>
    </row>
    <row r="818" spans="7:7" x14ac:dyDescent="0.3">
      <c r="G818" s="98"/>
    </row>
    <row r="819" spans="7:7" x14ac:dyDescent="0.3">
      <c r="G819" s="98"/>
    </row>
    <row r="820" spans="7:7" x14ac:dyDescent="0.3">
      <c r="G820" s="98"/>
    </row>
    <row r="821" spans="7:7" x14ac:dyDescent="0.3">
      <c r="G821" s="98"/>
    </row>
    <row r="822" spans="7:7" x14ac:dyDescent="0.3">
      <c r="G822" s="98"/>
    </row>
    <row r="823" spans="7:7" x14ac:dyDescent="0.3">
      <c r="G823" s="98"/>
    </row>
    <row r="824" spans="7:7" x14ac:dyDescent="0.3">
      <c r="G824" s="98"/>
    </row>
    <row r="825" spans="7:7" x14ac:dyDescent="0.3">
      <c r="G825" s="98"/>
    </row>
    <row r="826" spans="7:7" x14ac:dyDescent="0.3">
      <c r="G826" s="98"/>
    </row>
    <row r="827" spans="7:7" x14ac:dyDescent="0.3">
      <c r="G827" s="98"/>
    </row>
    <row r="828" spans="7:7" x14ac:dyDescent="0.3">
      <c r="G828" s="98"/>
    </row>
    <row r="829" spans="7:7" x14ac:dyDescent="0.3">
      <c r="G829" s="98"/>
    </row>
    <row r="830" spans="7:7" x14ac:dyDescent="0.3">
      <c r="G830" s="98"/>
    </row>
    <row r="831" spans="7:7" x14ac:dyDescent="0.3">
      <c r="G831" s="98"/>
    </row>
    <row r="832" spans="7:7" x14ac:dyDescent="0.3">
      <c r="G832" s="98"/>
    </row>
    <row r="833" spans="7:7" x14ac:dyDescent="0.3">
      <c r="G833" s="98"/>
    </row>
    <row r="834" spans="7:7" x14ac:dyDescent="0.3">
      <c r="G834" s="98"/>
    </row>
    <row r="835" spans="7:7" x14ac:dyDescent="0.3">
      <c r="G835" s="98"/>
    </row>
    <row r="836" spans="7:7" x14ac:dyDescent="0.3">
      <c r="G836" s="98"/>
    </row>
    <row r="837" spans="7:7" x14ac:dyDescent="0.3">
      <c r="G837" s="98"/>
    </row>
    <row r="838" spans="7:7" x14ac:dyDescent="0.3">
      <c r="G838" s="98"/>
    </row>
    <row r="839" spans="7:7" x14ac:dyDescent="0.3">
      <c r="G839" s="98"/>
    </row>
    <row r="840" spans="7:7" x14ac:dyDescent="0.3">
      <c r="G840" s="98"/>
    </row>
    <row r="841" spans="7:7" x14ac:dyDescent="0.3">
      <c r="G841" s="98"/>
    </row>
    <row r="842" spans="7:7" x14ac:dyDescent="0.3">
      <c r="G842" s="98"/>
    </row>
    <row r="843" spans="7:7" x14ac:dyDescent="0.3">
      <c r="G843" s="98"/>
    </row>
    <row r="844" spans="7:7" x14ac:dyDescent="0.3">
      <c r="G844" s="98"/>
    </row>
    <row r="845" spans="7:7" x14ac:dyDescent="0.3">
      <c r="G845" s="98"/>
    </row>
    <row r="846" spans="7:7" x14ac:dyDescent="0.3">
      <c r="G846" s="98"/>
    </row>
    <row r="847" spans="7:7" x14ac:dyDescent="0.3">
      <c r="G847" s="98"/>
    </row>
    <row r="848" spans="7:7" x14ac:dyDescent="0.3">
      <c r="G848" s="98"/>
    </row>
    <row r="849" spans="7:7" x14ac:dyDescent="0.3">
      <c r="G849" s="98"/>
    </row>
    <row r="850" spans="7:7" x14ac:dyDescent="0.3">
      <c r="G850" s="98"/>
    </row>
    <row r="851" spans="7:7" x14ac:dyDescent="0.3">
      <c r="G851" s="98"/>
    </row>
    <row r="852" spans="7:7" x14ac:dyDescent="0.3">
      <c r="G852" s="98"/>
    </row>
    <row r="853" spans="7:7" x14ac:dyDescent="0.3">
      <c r="G853" s="98"/>
    </row>
    <row r="854" spans="7:7" x14ac:dyDescent="0.3">
      <c r="G854" s="98"/>
    </row>
    <row r="855" spans="7:7" x14ac:dyDescent="0.3">
      <c r="G855" s="98"/>
    </row>
    <row r="856" spans="7:7" x14ac:dyDescent="0.3">
      <c r="G856" s="98"/>
    </row>
    <row r="857" spans="7:7" x14ac:dyDescent="0.3">
      <c r="G857" s="98"/>
    </row>
    <row r="858" spans="7:7" x14ac:dyDescent="0.3">
      <c r="G858" s="98"/>
    </row>
    <row r="859" spans="7:7" x14ac:dyDescent="0.3">
      <c r="G859" s="98"/>
    </row>
    <row r="860" spans="7:7" x14ac:dyDescent="0.3">
      <c r="G860" s="98"/>
    </row>
    <row r="861" spans="7:7" x14ac:dyDescent="0.3">
      <c r="G861" s="98"/>
    </row>
    <row r="862" spans="7:7" x14ac:dyDescent="0.3">
      <c r="G862" s="98"/>
    </row>
    <row r="863" spans="7:7" x14ac:dyDescent="0.3">
      <c r="G863" s="98"/>
    </row>
    <row r="864" spans="7:7" x14ac:dyDescent="0.3">
      <c r="G864" s="98"/>
    </row>
    <row r="865" spans="7:7" x14ac:dyDescent="0.3">
      <c r="G865" s="98"/>
    </row>
    <row r="866" spans="7:7" x14ac:dyDescent="0.3">
      <c r="G866" s="98"/>
    </row>
    <row r="867" spans="7:7" x14ac:dyDescent="0.3">
      <c r="G867" s="98"/>
    </row>
    <row r="868" spans="7:7" x14ac:dyDescent="0.3">
      <c r="G868" s="98"/>
    </row>
    <row r="869" spans="7:7" x14ac:dyDescent="0.3">
      <c r="G869" s="98"/>
    </row>
    <row r="870" spans="7:7" x14ac:dyDescent="0.3">
      <c r="G870" s="98"/>
    </row>
    <row r="871" spans="7:7" x14ac:dyDescent="0.3">
      <c r="G871" s="98"/>
    </row>
    <row r="872" spans="7:7" x14ac:dyDescent="0.3">
      <c r="G872" s="98"/>
    </row>
    <row r="873" spans="7:7" x14ac:dyDescent="0.3">
      <c r="G873" s="98"/>
    </row>
    <row r="874" spans="7:7" x14ac:dyDescent="0.3">
      <c r="G874" s="98"/>
    </row>
    <row r="875" spans="7:7" x14ac:dyDescent="0.3">
      <c r="G875" s="98"/>
    </row>
    <row r="876" spans="7:7" x14ac:dyDescent="0.3">
      <c r="G876" s="98"/>
    </row>
    <row r="877" spans="7:7" x14ac:dyDescent="0.3">
      <c r="G877" s="98"/>
    </row>
    <row r="878" spans="7:7" x14ac:dyDescent="0.3">
      <c r="G878" s="98"/>
    </row>
    <row r="879" spans="7:7" x14ac:dyDescent="0.3">
      <c r="G879" s="98"/>
    </row>
    <row r="880" spans="7:7" x14ac:dyDescent="0.3">
      <c r="G880" s="98"/>
    </row>
    <row r="881" spans="7:7" x14ac:dyDescent="0.3">
      <c r="G881" s="98"/>
    </row>
    <row r="882" spans="7:7" x14ac:dyDescent="0.3">
      <c r="G882" s="98"/>
    </row>
    <row r="883" spans="7:7" x14ac:dyDescent="0.3">
      <c r="G883" s="98"/>
    </row>
    <row r="884" spans="7:7" x14ac:dyDescent="0.3">
      <c r="G884" s="98"/>
    </row>
    <row r="885" spans="7:7" x14ac:dyDescent="0.3">
      <c r="G885" s="98"/>
    </row>
    <row r="886" spans="7:7" x14ac:dyDescent="0.3">
      <c r="G886" s="98"/>
    </row>
    <row r="887" spans="7:7" x14ac:dyDescent="0.3">
      <c r="G887" s="98"/>
    </row>
    <row r="888" spans="7:7" x14ac:dyDescent="0.3">
      <c r="G888" s="98"/>
    </row>
    <row r="889" spans="7:7" x14ac:dyDescent="0.3">
      <c r="G889" s="98"/>
    </row>
    <row r="890" spans="7:7" x14ac:dyDescent="0.3">
      <c r="G890" s="98"/>
    </row>
    <row r="891" spans="7:7" x14ac:dyDescent="0.3">
      <c r="G891" s="98"/>
    </row>
    <row r="892" spans="7:7" x14ac:dyDescent="0.3">
      <c r="G892" s="98"/>
    </row>
    <row r="893" spans="7:7" x14ac:dyDescent="0.3">
      <c r="G893" s="98"/>
    </row>
    <row r="894" spans="7:7" x14ac:dyDescent="0.3">
      <c r="G894" s="98"/>
    </row>
    <row r="895" spans="7:7" x14ac:dyDescent="0.3">
      <c r="G895" s="98"/>
    </row>
    <row r="896" spans="7:7" x14ac:dyDescent="0.3">
      <c r="G896" s="98"/>
    </row>
    <row r="897" spans="7:7" x14ac:dyDescent="0.3">
      <c r="G897" s="98"/>
    </row>
    <row r="898" spans="7:7" x14ac:dyDescent="0.3">
      <c r="G898" s="98"/>
    </row>
    <row r="899" spans="7:7" x14ac:dyDescent="0.3">
      <c r="G899" s="98"/>
    </row>
    <row r="900" spans="7:7" x14ac:dyDescent="0.3">
      <c r="G900" s="98"/>
    </row>
    <row r="901" spans="7:7" x14ac:dyDescent="0.3">
      <c r="G901" s="98"/>
    </row>
    <row r="902" spans="7:7" x14ac:dyDescent="0.3">
      <c r="G902" s="98"/>
    </row>
    <row r="903" spans="7:7" x14ac:dyDescent="0.3">
      <c r="G903" s="98"/>
    </row>
    <row r="904" spans="7:7" x14ac:dyDescent="0.3">
      <c r="G904" s="98"/>
    </row>
    <row r="905" spans="7:7" x14ac:dyDescent="0.3">
      <c r="G905" s="98"/>
    </row>
    <row r="906" spans="7:7" x14ac:dyDescent="0.3">
      <c r="G906" s="98"/>
    </row>
    <row r="907" spans="7:7" x14ac:dyDescent="0.3">
      <c r="G907" s="98"/>
    </row>
    <row r="908" spans="7:7" x14ac:dyDescent="0.3">
      <c r="G908" s="98"/>
    </row>
    <row r="909" spans="7:7" x14ac:dyDescent="0.3">
      <c r="G909" s="98"/>
    </row>
    <row r="910" spans="7:7" x14ac:dyDescent="0.3">
      <c r="G910" s="98"/>
    </row>
    <row r="911" spans="7:7" x14ac:dyDescent="0.3">
      <c r="G911" s="98"/>
    </row>
    <row r="912" spans="7:7" x14ac:dyDescent="0.3">
      <c r="G912" s="98"/>
    </row>
    <row r="913" spans="7:7" x14ac:dyDescent="0.3">
      <c r="G913" s="98"/>
    </row>
    <row r="914" spans="7:7" x14ac:dyDescent="0.3">
      <c r="G914" s="98"/>
    </row>
    <row r="915" spans="7:7" x14ac:dyDescent="0.3">
      <c r="G915" s="98"/>
    </row>
    <row r="916" spans="7:7" x14ac:dyDescent="0.3">
      <c r="G916" s="98"/>
    </row>
    <row r="917" spans="7:7" x14ac:dyDescent="0.3">
      <c r="G917" s="98"/>
    </row>
    <row r="918" spans="7:7" x14ac:dyDescent="0.3">
      <c r="G918" s="98"/>
    </row>
    <row r="919" spans="7:7" x14ac:dyDescent="0.3">
      <c r="G919" s="98"/>
    </row>
    <row r="920" spans="7:7" x14ac:dyDescent="0.3">
      <c r="G920" s="98"/>
    </row>
    <row r="921" spans="7:7" x14ac:dyDescent="0.3">
      <c r="G921" s="98"/>
    </row>
    <row r="922" spans="7:7" x14ac:dyDescent="0.3">
      <c r="G922" s="98"/>
    </row>
    <row r="923" spans="7:7" x14ac:dyDescent="0.3">
      <c r="G923" s="98"/>
    </row>
    <row r="924" spans="7:7" x14ac:dyDescent="0.3">
      <c r="G924" s="98"/>
    </row>
    <row r="925" spans="7:7" x14ac:dyDescent="0.3">
      <c r="G925" s="98"/>
    </row>
    <row r="926" spans="7:7" x14ac:dyDescent="0.3">
      <c r="G926" s="98"/>
    </row>
    <row r="927" spans="7:7" x14ac:dyDescent="0.3">
      <c r="G927" s="98"/>
    </row>
    <row r="928" spans="7:7" x14ac:dyDescent="0.3">
      <c r="G928" s="98"/>
    </row>
    <row r="929" spans="7:7" x14ac:dyDescent="0.3">
      <c r="G929" s="98"/>
    </row>
    <row r="930" spans="7:7" x14ac:dyDescent="0.3">
      <c r="G930" s="98"/>
    </row>
    <row r="931" spans="7:7" x14ac:dyDescent="0.3">
      <c r="G931" s="98"/>
    </row>
    <row r="932" spans="7:7" x14ac:dyDescent="0.3">
      <c r="G932" s="98"/>
    </row>
    <row r="933" spans="7:7" x14ac:dyDescent="0.3">
      <c r="G933" s="98"/>
    </row>
    <row r="934" spans="7:7" x14ac:dyDescent="0.3">
      <c r="G934" s="98"/>
    </row>
    <row r="935" spans="7:7" x14ac:dyDescent="0.3">
      <c r="G935" s="98"/>
    </row>
    <row r="936" spans="7:7" x14ac:dyDescent="0.3">
      <c r="G936" s="98"/>
    </row>
    <row r="937" spans="7:7" x14ac:dyDescent="0.3">
      <c r="G937" s="98"/>
    </row>
    <row r="938" spans="7:7" x14ac:dyDescent="0.3">
      <c r="G938" s="98"/>
    </row>
    <row r="939" spans="7:7" x14ac:dyDescent="0.3">
      <c r="G939" s="98"/>
    </row>
    <row r="940" spans="7:7" x14ac:dyDescent="0.3">
      <c r="G940" s="98"/>
    </row>
    <row r="941" spans="7:7" x14ac:dyDescent="0.3">
      <c r="G941" s="98"/>
    </row>
    <row r="942" spans="7:7" x14ac:dyDescent="0.3">
      <c r="G942" s="98"/>
    </row>
    <row r="943" spans="7:7" x14ac:dyDescent="0.3">
      <c r="G943" s="98"/>
    </row>
    <row r="944" spans="7:7" x14ac:dyDescent="0.3">
      <c r="G944" s="98"/>
    </row>
    <row r="945" spans="7:7" x14ac:dyDescent="0.3">
      <c r="G945" s="98"/>
    </row>
    <row r="946" spans="7:7" x14ac:dyDescent="0.3">
      <c r="G946" s="98"/>
    </row>
    <row r="947" spans="7:7" x14ac:dyDescent="0.3">
      <c r="G947" s="98"/>
    </row>
    <row r="948" spans="7:7" x14ac:dyDescent="0.3">
      <c r="G948" s="98"/>
    </row>
    <row r="949" spans="7:7" x14ac:dyDescent="0.3">
      <c r="G949" s="98"/>
    </row>
    <row r="950" spans="7:7" x14ac:dyDescent="0.3">
      <c r="G950" s="98"/>
    </row>
    <row r="951" spans="7:7" x14ac:dyDescent="0.3">
      <c r="G951" s="98"/>
    </row>
    <row r="952" spans="7:7" x14ac:dyDescent="0.3">
      <c r="G952" s="98"/>
    </row>
    <row r="953" spans="7:7" x14ac:dyDescent="0.3">
      <c r="G953" s="98"/>
    </row>
    <row r="954" spans="7:7" x14ac:dyDescent="0.3">
      <c r="G954" s="98"/>
    </row>
    <row r="955" spans="7:7" x14ac:dyDescent="0.3">
      <c r="G955" s="98"/>
    </row>
    <row r="956" spans="7:7" x14ac:dyDescent="0.3">
      <c r="G956" s="98"/>
    </row>
    <row r="957" spans="7:7" x14ac:dyDescent="0.3">
      <c r="G957" s="98"/>
    </row>
    <row r="958" spans="7:7" x14ac:dyDescent="0.3">
      <c r="G958" s="98"/>
    </row>
    <row r="959" spans="7:7" x14ac:dyDescent="0.3">
      <c r="G959" s="98"/>
    </row>
    <row r="960" spans="7:7" x14ac:dyDescent="0.3">
      <c r="G960" s="98"/>
    </row>
    <row r="961" spans="7:7" x14ac:dyDescent="0.3">
      <c r="G961" s="98"/>
    </row>
    <row r="962" spans="7:7" x14ac:dyDescent="0.3">
      <c r="G962" s="98"/>
    </row>
    <row r="963" spans="7:7" x14ac:dyDescent="0.3">
      <c r="G963" s="98"/>
    </row>
    <row r="964" spans="7:7" x14ac:dyDescent="0.3">
      <c r="G964" s="98"/>
    </row>
    <row r="965" spans="7:7" x14ac:dyDescent="0.3">
      <c r="G965" s="98"/>
    </row>
    <row r="966" spans="7:7" x14ac:dyDescent="0.3">
      <c r="G966" s="98"/>
    </row>
    <row r="967" spans="7:7" x14ac:dyDescent="0.3">
      <c r="G967" s="98"/>
    </row>
    <row r="968" spans="7:7" x14ac:dyDescent="0.3">
      <c r="G968" s="98"/>
    </row>
    <row r="969" spans="7:7" x14ac:dyDescent="0.3">
      <c r="G969" s="98"/>
    </row>
    <row r="970" spans="7:7" x14ac:dyDescent="0.3">
      <c r="G970" s="98"/>
    </row>
    <row r="971" spans="7:7" x14ac:dyDescent="0.3">
      <c r="G971" s="98"/>
    </row>
    <row r="972" spans="7:7" x14ac:dyDescent="0.3">
      <c r="G972" s="98"/>
    </row>
    <row r="973" spans="7:7" x14ac:dyDescent="0.3">
      <c r="G973" s="98"/>
    </row>
    <row r="974" spans="7:7" x14ac:dyDescent="0.3">
      <c r="G974" s="98"/>
    </row>
    <row r="975" spans="7:7" x14ac:dyDescent="0.3">
      <c r="G975" s="98"/>
    </row>
    <row r="976" spans="7:7" x14ac:dyDescent="0.3">
      <c r="G976" s="98"/>
    </row>
    <row r="977" spans="7:7" x14ac:dyDescent="0.3">
      <c r="G977" s="98"/>
    </row>
    <row r="978" spans="7:7" x14ac:dyDescent="0.3">
      <c r="G978" s="98"/>
    </row>
    <row r="979" spans="7:7" x14ac:dyDescent="0.3">
      <c r="G979" s="98"/>
    </row>
    <row r="980" spans="7:7" x14ac:dyDescent="0.3">
      <c r="G980" s="98"/>
    </row>
    <row r="981" spans="7:7" x14ac:dyDescent="0.3">
      <c r="G981" s="98"/>
    </row>
    <row r="982" spans="7:7" x14ac:dyDescent="0.3">
      <c r="G982" s="98"/>
    </row>
    <row r="983" spans="7:7" x14ac:dyDescent="0.3">
      <c r="G983" s="98"/>
    </row>
    <row r="984" spans="7:7" x14ac:dyDescent="0.3">
      <c r="G984" s="98"/>
    </row>
    <row r="985" spans="7:7" x14ac:dyDescent="0.3">
      <c r="G985" s="98"/>
    </row>
    <row r="986" spans="7:7" x14ac:dyDescent="0.3">
      <c r="G986" s="98"/>
    </row>
    <row r="987" spans="7:7" x14ac:dyDescent="0.3">
      <c r="G987" s="98"/>
    </row>
    <row r="988" spans="7:7" x14ac:dyDescent="0.3">
      <c r="G988" s="98"/>
    </row>
    <row r="989" spans="7:7" x14ac:dyDescent="0.3">
      <c r="G989" s="98"/>
    </row>
    <row r="990" spans="7:7" x14ac:dyDescent="0.3">
      <c r="G990" s="98"/>
    </row>
    <row r="991" spans="7:7" x14ac:dyDescent="0.3">
      <c r="G991" s="98"/>
    </row>
    <row r="992" spans="7:7" x14ac:dyDescent="0.3">
      <c r="G992" s="98"/>
    </row>
    <row r="993" spans="7:7" x14ac:dyDescent="0.3">
      <c r="G993" s="98"/>
    </row>
    <row r="994" spans="7:7" x14ac:dyDescent="0.3">
      <c r="G994" s="98"/>
    </row>
    <row r="995" spans="7:7" x14ac:dyDescent="0.3">
      <c r="G995" s="98"/>
    </row>
    <row r="996" spans="7:7" x14ac:dyDescent="0.3">
      <c r="G996" s="98"/>
    </row>
    <row r="997" spans="7:7" x14ac:dyDescent="0.3">
      <c r="G997" s="98"/>
    </row>
    <row r="998" spans="7:7" x14ac:dyDescent="0.3">
      <c r="G998" s="98"/>
    </row>
    <row r="999" spans="7:7" x14ac:dyDescent="0.3">
      <c r="G999" s="98"/>
    </row>
    <row r="1000" spans="7:7" x14ac:dyDescent="0.3">
      <c r="G1000" s="98"/>
    </row>
    <row r="1001" spans="7:7" x14ac:dyDescent="0.3">
      <c r="G1001" s="98"/>
    </row>
    <row r="1002" spans="7:7" x14ac:dyDescent="0.3">
      <c r="G1002" s="98"/>
    </row>
    <row r="1003" spans="7:7" x14ac:dyDescent="0.3">
      <c r="G1003" s="98"/>
    </row>
    <row r="1004" spans="7:7" x14ac:dyDescent="0.3">
      <c r="G1004" s="98"/>
    </row>
    <row r="1005" spans="7:7" x14ac:dyDescent="0.3">
      <c r="G1005" s="98"/>
    </row>
    <row r="1006" spans="7:7" x14ac:dyDescent="0.3">
      <c r="G1006" s="98"/>
    </row>
    <row r="1007" spans="7:7" x14ac:dyDescent="0.3">
      <c r="G1007" s="98"/>
    </row>
    <row r="1008" spans="7:7" x14ac:dyDescent="0.3">
      <c r="G1008" s="98"/>
    </row>
    <row r="1009" spans="7:7" x14ac:dyDescent="0.3">
      <c r="G1009" s="98"/>
    </row>
    <row r="1010" spans="7:7" x14ac:dyDescent="0.3">
      <c r="G1010" s="98"/>
    </row>
    <row r="1011" spans="7:7" x14ac:dyDescent="0.3">
      <c r="G1011" s="98"/>
    </row>
    <row r="1012" spans="7:7" x14ac:dyDescent="0.3">
      <c r="G1012" s="98"/>
    </row>
    <row r="1013" spans="7:7" x14ac:dyDescent="0.3">
      <c r="G1013" s="98"/>
    </row>
    <row r="1014" spans="7:7" x14ac:dyDescent="0.3">
      <c r="G1014" s="98"/>
    </row>
    <row r="1015" spans="7:7" x14ac:dyDescent="0.3">
      <c r="G1015" s="98"/>
    </row>
    <row r="1016" spans="7:7" x14ac:dyDescent="0.3">
      <c r="G1016" s="98"/>
    </row>
    <row r="1017" spans="7:7" x14ac:dyDescent="0.3">
      <c r="G1017" s="98"/>
    </row>
    <row r="1018" spans="7:7" x14ac:dyDescent="0.3">
      <c r="G1018" s="98"/>
    </row>
    <row r="1019" spans="7:7" x14ac:dyDescent="0.3">
      <c r="G1019" s="98"/>
    </row>
    <row r="1020" spans="7:7" x14ac:dyDescent="0.3">
      <c r="G1020" s="98"/>
    </row>
    <row r="1021" spans="7:7" x14ac:dyDescent="0.3">
      <c r="G1021" s="98"/>
    </row>
    <row r="1022" spans="7:7" x14ac:dyDescent="0.3">
      <c r="G1022" s="98"/>
    </row>
    <row r="1023" spans="7:7" x14ac:dyDescent="0.3">
      <c r="G1023" s="98"/>
    </row>
    <row r="1024" spans="7:7" x14ac:dyDescent="0.3">
      <c r="G1024" s="98"/>
    </row>
    <row r="1025" spans="7:7" x14ac:dyDescent="0.3">
      <c r="G1025" s="98"/>
    </row>
    <row r="1026" spans="7:7" x14ac:dyDescent="0.3">
      <c r="G1026" s="98"/>
    </row>
    <row r="1027" spans="7:7" x14ac:dyDescent="0.3">
      <c r="G1027" s="98"/>
    </row>
    <row r="1028" spans="7:7" x14ac:dyDescent="0.3">
      <c r="G1028" s="98"/>
    </row>
    <row r="1029" spans="7:7" x14ac:dyDescent="0.3">
      <c r="G1029" s="98"/>
    </row>
    <row r="1030" spans="7:7" x14ac:dyDescent="0.3">
      <c r="G1030" s="98"/>
    </row>
    <row r="1031" spans="7:7" x14ac:dyDescent="0.3">
      <c r="G1031" s="98"/>
    </row>
    <row r="1032" spans="7:7" x14ac:dyDescent="0.3">
      <c r="G1032" s="98"/>
    </row>
    <row r="1033" spans="7:7" x14ac:dyDescent="0.3">
      <c r="G1033" s="98"/>
    </row>
    <row r="1034" spans="7:7" x14ac:dyDescent="0.3">
      <c r="G1034" s="98"/>
    </row>
    <row r="1035" spans="7:7" x14ac:dyDescent="0.3">
      <c r="G1035" s="98"/>
    </row>
    <row r="1036" spans="7:7" x14ac:dyDescent="0.3">
      <c r="G1036" s="98"/>
    </row>
    <row r="1037" spans="7:7" x14ac:dyDescent="0.3">
      <c r="G1037" s="98"/>
    </row>
    <row r="1038" spans="7:7" x14ac:dyDescent="0.3">
      <c r="G1038" s="98"/>
    </row>
    <row r="1039" spans="7:7" x14ac:dyDescent="0.3">
      <c r="G1039" s="98"/>
    </row>
    <row r="1040" spans="7:7" x14ac:dyDescent="0.3">
      <c r="G1040" s="98"/>
    </row>
    <row r="1041" spans="7:7" x14ac:dyDescent="0.3">
      <c r="G1041" s="98"/>
    </row>
    <row r="1042" spans="7:7" x14ac:dyDescent="0.3">
      <c r="G1042" s="98"/>
    </row>
    <row r="1043" spans="7:7" x14ac:dyDescent="0.3">
      <c r="G1043" s="98"/>
    </row>
    <row r="1044" spans="7:7" x14ac:dyDescent="0.3">
      <c r="G1044" s="98"/>
    </row>
    <row r="1045" spans="7:7" x14ac:dyDescent="0.3">
      <c r="G1045" s="98"/>
    </row>
    <row r="1046" spans="7:7" x14ac:dyDescent="0.3">
      <c r="G1046" s="98"/>
    </row>
    <row r="1047" spans="7:7" x14ac:dyDescent="0.3">
      <c r="G1047" s="98"/>
    </row>
    <row r="1048" spans="7:7" x14ac:dyDescent="0.3">
      <c r="G1048" s="98"/>
    </row>
    <row r="1049" spans="7:7" x14ac:dyDescent="0.3">
      <c r="G1049" s="98"/>
    </row>
    <row r="1050" spans="7:7" x14ac:dyDescent="0.3">
      <c r="G1050" s="98"/>
    </row>
    <row r="1051" spans="7:7" x14ac:dyDescent="0.3">
      <c r="G1051" s="98"/>
    </row>
    <row r="1052" spans="7:7" x14ac:dyDescent="0.3">
      <c r="G1052" s="98"/>
    </row>
    <row r="1053" spans="7:7" x14ac:dyDescent="0.3">
      <c r="G1053" s="98"/>
    </row>
    <row r="1054" spans="7:7" x14ac:dyDescent="0.3">
      <c r="G1054" s="98"/>
    </row>
    <row r="1055" spans="7:7" x14ac:dyDescent="0.3">
      <c r="G1055" s="98"/>
    </row>
    <row r="1056" spans="7:7" x14ac:dyDescent="0.3">
      <c r="G1056" s="98"/>
    </row>
    <row r="1057" spans="7:7" x14ac:dyDescent="0.3">
      <c r="G1057" s="98"/>
    </row>
    <row r="1058" spans="7:7" x14ac:dyDescent="0.3">
      <c r="G1058" s="98"/>
    </row>
    <row r="1059" spans="7:7" x14ac:dyDescent="0.3">
      <c r="G1059" s="98"/>
    </row>
    <row r="1060" spans="7:7" x14ac:dyDescent="0.3">
      <c r="G1060" s="98"/>
    </row>
    <row r="1061" spans="7:7" x14ac:dyDescent="0.3">
      <c r="G1061" s="98"/>
    </row>
    <row r="1062" spans="7:7" x14ac:dyDescent="0.3">
      <c r="G1062" s="98"/>
    </row>
    <row r="1063" spans="7:7" x14ac:dyDescent="0.3">
      <c r="G1063" s="98"/>
    </row>
    <row r="1064" spans="7:7" x14ac:dyDescent="0.3">
      <c r="G1064" s="98"/>
    </row>
    <row r="1065" spans="7:7" x14ac:dyDescent="0.3">
      <c r="G1065" s="98"/>
    </row>
    <row r="1066" spans="7:7" x14ac:dyDescent="0.3">
      <c r="G1066" s="98"/>
    </row>
    <row r="1067" spans="7:7" x14ac:dyDescent="0.3">
      <c r="G1067" s="98"/>
    </row>
    <row r="1068" spans="7:7" x14ac:dyDescent="0.3">
      <c r="G1068" s="98"/>
    </row>
    <row r="1069" spans="7:7" x14ac:dyDescent="0.3">
      <c r="G1069" s="98"/>
    </row>
    <row r="1070" spans="7:7" x14ac:dyDescent="0.3">
      <c r="G1070" s="98"/>
    </row>
    <row r="1071" spans="7:7" x14ac:dyDescent="0.3">
      <c r="G1071" s="98"/>
    </row>
    <row r="1072" spans="7:7" x14ac:dyDescent="0.3">
      <c r="G1072" s="98"/>
    </row>
    <row r="1073" spans="7:7" x14ac:dyDescent="0.3">
      <c r="G1073" s="98"/>
    </row>
    <row r="1074" spans="7:7" x14ac:dyDescent="0.3">
      <c r="G1074" s="98"/>
    </row>
    <row r="1075" spans="7:7" x14ac:dyDescent="0.3">
      <c r="G1075" s="98"/>
    </row>
    <row r="1076" spans="7:7" x14ac:dyDescent="0.3">
      <c r="G1076" s="98"/>
    </row>
    <row r="1077" spans="7:7" x14ac:dyDescent="0.3">
      <c r="G1077" s="98"/>
    </row>
    <row r="1078" spans="7:7" x14ac:dyDescent="0.3">
      <c r="G1078" s="98"/>
    </row>
    <row r="1079" spans="7:7" x14ac:dyDescent="0.3">
      <c r="G1079" s="98"/>
    </row>
    <row r="1080" spans="7:7" x14ac:dyDescent="0.3">
      <c r="G1080" s="98"/>
    </row>
    <row r="1081" spans="7:7" x14ac:dyDescent="0.3">
      <c r="G1081" s="98"/>
    </row>
    <row r="1082" spans="7:7" x14ac:dyDescent="0.3">
      <c r="G1082" s="98"/>
    </row>
    <row r="1083" spans="7:7" x14ac:dyDescent="0.3">
      <c r="G1083" s="98"/>
    </row>
    <row r="1084" spans="7:7" x14ac:dyDescent="0.3">
      <c r="G1084" s="98"/>
    </row>
    <row r="1085" spans="7:7" x14ac:dyDescent="0.3">
      <c r="G1085" s="98"/>
    </row>
    <row r="1086" spans="7:7" x14ac:dyDescent="0.3">
      <c r="G1086" s="98"/>
    </row>
    <row r="1087" spans="7:7" x14ac:dyDescent="0.3">
      <c r="G1087" s="98"/>
    </row>
    <row r="1088" spans="7:7" x14ac:dyDescent="0.3">
      <c r="G1088" s="98"/>
    </row>
    <row r="1089" spans="7:7" x14ac:dyDescent="0.3">
      <c r="G1089" s="98"/>
    </row>
    <row r="1090" spans="7:7" x14ac:dyDescent="0.3">
      <c r="G1090" s="98"/>
    </row>
    <row r="1091" spans="7:7" x14ac:dyDescent="0.3">
      <c r="G1091" s="98"/>
    </row>
    <row r="1092" spans="7:7" x14ac:dyDescent="0.3">
      <c r="G1092" s="98"/>
    </row>
    <row r="1093" spans="7:7" x14ac:dyDescent="0.3">
      <c r="G1093" s="98"/>
    </row>
    <row r="1094" spans="7:7" x14ac:dyDescent="0.3">
      <c r="G1094" s="98"/>
    </row>
    <row r="1095" spans="7:7" x14ac:dyDescent="0.3">
      <c r="G1095" s="98"/>
    </row>
    <row r="1096" spans="7:7" x14ac:dyDescent="0.3">
      <c r="G1096" s="98"/>
    </row>
    <row r="1097" spans="7:7" x14ac:dyDescent="0.3">
      <c r="G1097" s="98"/>
    </row>
    <row r="1098" spans="7:7" x14ac:dyDescent="0.3">
      <c r="G1098" s="98"/>
    </row>
    <row r="1099" spans="7:7" x14ac:dyDescent="0.3">
      <c r="G1099" s="98"/>
    </row>
    <row r="1100" spans="7:7" x14ac:dyDescent="0.3">
      <c r="G1100" s="98"/>
    </row>
    <row r="1101" spans="7:7" x14ac:dyDescent="0.3">
      <c r="G1101" s="98"/>
    </row>
    <row r="1102" spans="7:7" x14ac:dyDescent="0.3">
      <c r="G1102" s="98"/>
    </row>
    <row r="1103" spans="7:7" x14ac:dyDescent="0.3">
      <c r="G1103" s="98"/>
    </row>
    <row r="1104" spans="7:7" x14ac:dyDescent="0.3">
      <c r="G1104" s="98"/>
    </row>
    <row r="1105" spans="7:7" x14ac:dyDescent="0.3">
      <c r="G1105" s="98"/>
    </row>
    <row r="1106" spans="7:7" x14ac:dyDescent="0.3">
      <c r="G1106" s="98"/>
    </row>
    <row r="1107" spans="7:7" x14ac:dyDescent="0.3">
      <c r="G1107" s="98"/>
    </row>
    <row r="1108" spans="7:7" x14ac:dyDescent="0.3">
      <c r="G1108" s="98"/>
    </row>
    <row r="1109" spans="7:7" x14ac:dyDescent="0.3">
      <c r="G1109" s="98"/>
    </row>
    <row r="1110" spans="7:7" x14ac:dyDescent="0.3">
      <c r="G1110" s="98"/>
    </row>
    <row r="1111" spans="7:7" x14ac:dyDescent="0.3">
      <c r="G1111" s="98"/>
    </row>
    <row r="1112" spans="7:7" x14ac:dyDescent="0.3">
      <c r="G1112" s="98"/>
    </row>
    <row r="1113" spans="7:7" x14ac:dyDescent="0.3">
      <c r="G1113" s="98"/>
    </row>
    <row r="1114" spans="7:7" x14ac:dyDescent="0.3">
      <c r="G1114" s="98"/>
    </row>
    <row r="1115" spans="7:7" x14ac:dyDescent="0.3">
      <c r="G1115" s="98"/>
    </row>
    <row r="1116" spans="7:7" x14ac:dyDescent="0.3">
      <c r="G1116" s="98"/>
    </row>
    <row r="1117" spans="7:7" x14ac:dyDescent="0.3">
      <c r="G1117" s="98"/>
    </row>
    <row r="1118" spans="7:7" x14ac:dyDescent="0.3">
      <c r="G1118" s="98"/>
    </row>
    <row r="1119" spans="7:7" x14ac:dyDescent="0.3">
      <c r="G1119" s="98"/>
    </row>
    <row r="1120" spans="7:7" x14ac:dyDescent="0.3">
      <c r="G1120" s="98"/>
    </row>
    <row r="1121" spans="7:7" x14ac:dyDescent="0.3">
      <c r="G1121" s="98"/>
    </row>
    <row r="1122" spans="7:7" x14ac:dyDescent="0.3">
      <c r="G1122" s="98"/>
    </row>
    <row r="1123" spans="7:7" x14ac:dyDescent="0.3">
      <c r="G1123" s="98"/>
    </row>
    <row r="1124" spans="7:7" x14ac:dyDescent="0.3">
      <c r="G1124" s="98"/>
    </row>
    <row r="1125" spans="7:7" x14ac:dyDescent="0.3">
      <c r="G1125" s="98"/>
    </row>
    <row r="1126" spans="7:7" x14ac:dyDescent="0.3">
      <c r="G1126" s="98"/>
    </row>
    <row r="1127" spans="7:7" x14ac:dyDescent="0.3">
      <c r="G1127" s="98"/>
    </row>
    <row r="1128" spans="7:7" x14ac:dyDescent="0.3">
      <c r="G1128" s="98"/>
    </row>
    <row r="1129" spans="7:7" x14ac:dyDescent="0.3">
      <c r="G1129" s="98"/>
    </row>
    <row r="1130" spans="7:7" x14ac:dyDescent="0.3">
      <c r="G1130" s="98"/>
    </row>
    <row r="1131" spans="7:7" x14ac:dyDescent="0.3">
      <c r="G1131" s="98"/>
    </row>
    <row r="1132" spans="7:7" x14ac:dyDescent="0.3">
      <c r="G1132" s="98"/>
    </row>
    <row r="1133" spans="7:7" x14ac:dyDescent="0.3">
      <c r="G1133" s="98"/>
    </row>
    <row r="1134" spans="7:7" x14ac:dyDescent="0.3">
      <c r="G1134" s="98"/>
    </row>
    <row r="1135" spans="7:7" x14ac:dyDescent="0.3">
      <c r="G1135" s="98"/>
    </row>
    <row r="1136" spans="7:7" x14ac:dyDescent="0.3">
      <c r="G1136" s="98"/>
    </row>
    <row r="1137" spans="7:7" x14ac:dyDescent="0.3">
      <c r="G1137" s="98"/>
    </row>
    <row r="1138" spans="7:7" x14ac:dyDescent="0.3">
      <c r="G1138" s="98"/>
    </row>
    <row r="1139" spans="7:7" x14ac:dyDescent="0.3">
      <c r="G1139" s="98"/>
    </row>
    <row r="1140" spans="7:7" x14ac:dyDescent="0.3">
      <c r="G1140" s="98"/>
    </row>
    <row r="1141" spans="7:7" x14ac:dyDescent="0.3">
      <c r="G1141" s="98"/>
    </row>
    <row r="1142" spans="7:7" x14ac:dyDescent="0.3">
      <c r="G1142" s="98"/>
    </row>
    <row r="1143" spans="7:7" x14ac:dyDescent="0.3">
      <c r="G1143" s="98"/>
    </row>
    <row r="1144" spans="7:7" x14ac:dyDescent="0.3">
      <c r="G1144" s="98"/>
    </row>
    <row r="1145" spans="7:7" x14ac:dyDescent="0.3">
      <c r="G1145" s="98"/>
    </row>
    <row r="1146" spans="7:7" x14ac:dyDescent="0.3">
      <c r="G1146" s="98"/>
    </row>
    <row r="1147" spans="7:7" x14ac:dyDescent="0.3">
      <c r="G1147" s="98"/>
    </row>
    <row r="1148" spans="7:7" x14ac:dyDescent="0.3">
      <c r="G1148" s="98"/>
    </row>
    <row r="1149" spans="7:7" x14ac:dyDescent="0.3">
      <c r="G1149" s="98"/>
    </row>
    <row r="1150" spans="7:7" x14ac:dyDescent="0.3">
      <c r="G1150" s="98"/>
    </row>
    <row r="1151" spans="7:7" x14ac:dyDescent="0.3">
      <c r="G1151" s="98"/>
    </row>
    <row r="1152" spans="7:7" x14ac:dyDescent="0.3">
      <c r="G1152" s="98"/>
    </row>
    <row r="1153" spans="7:7" x14ac:dyDescent="0.3">
      <c r="G1153" s="98"/>
    </row>
    <row r="1154" spans="7:7" x14ac:dyDescent="0.3">
      <c r="G1154" s="98"/>
    </row>
    <row r="1155" spans="7:7" x14ac:dyDescent="0.3">
      <c r="G1155" s="98"/>
    </row>
    <row r="1156" spans="7:7" x14ac:dyDescent="0.3">
      <c r="G1156" s="98"/>
    </row>
    <row r="1157" spans="7:7" x14ac:dyDescent="0.3">
      <c r="G1157" s="98"/>
    </row>
    <row r="1158" spans="7:7" x14ac:dyDescent="0.3">
      <c r="G1158" s="98"/>
    </row>
    <row r="1159" spans="7:7" x14ac:dyDescent="0.3">
      <c r="G1159" s="98"/>
    </row>
    <row r="1160" spans="7:7" x14ac:dyDescent="0.3">
      <c r="G1160" s="98"/>
    </row>
    <row r="1161" spans="7:7" x14ac:dyDescent="0.3">
      <c r="G1161" s="98"/>
    </row>
    <row r="1162" spans="7:7" x14ac:dyDescent="0.3">
      <c r="G1162" s="98"/>
    </row>
    <row r="1163" spans="7:7" x14ac:dyDescent="0.3">
      <c r="G1163" s="98"/>
    </row>
    <row r="1164" spans="7:7" x14ac:dyDescent="0.3">
      <c r="G1164" s="98"/>
    </row>
    <row r="1165" spans="7:7" x14ac:dyDescent="0.3">
      <c r="G1165" s="98"/>
    </row>
    <row r="1166" spans="7:7" x14ac:dyDescent="0.3">
      <c r="G1166" s="98"/>
    </row>
    <row r="1167" spans="7:7" x14ac:dyDescent="0.3">
      <c r="G1167" s="98"/>
    </row>
    <row r="1168" spans="7:7" x14ac:dyDescent="0.3">
      <c r="G1168" s="98"/>
    </row>
    <row r="1169" spans="7:7" x14ac:dyDescent="0.3">
      <c r="G1169" s="98"/>
    </row>
    <row r="1170" spans="7:7" x14ac:dyDescent="0.3">
      <c r="G1170" s="98"/>
    </row>
    <row r="1171" spans="7:7" x14ac:dyDescent="0.3">
      <c r="G1171" s="98"/>
    </row>
    <row r="1172" spans="7:7" x14ac:dyDescent="0.3">
      <c r="G1172" s="98"/>
    </row>
    <row r="1173" spans="7:7" x14ac:dyDescent="0.3">
      <c r="G1173" s="98"/>
    </row>
    <row r="1174" spans="7:7" x14ac:dyDescent="0.3">
      <c r="G1174" s="98"/>
    </row>
    <row r="1175" spans="7:7" x14ac:dyDescent="0.3">
      <c r="G1175" s="98"/>
    </row>
    <row r="1176" spans="7:7" x14ac:dyDescent="0.3">
      <c r="G1176" s="98"/>
    </row>
    <row r="1177" spans="7:7" x14ac:dyDescent="0.3">
      <c r="G1177" s="98"/>
    </row>
    <row r="1178" spans="7:7" x14ac:dyDescent="0.3">
      <c r="G1178" s="98"/>
    </row>
    <row r="1179" spans="7:7" x14ac:dyDescent="0.3">
      <c r="G1179" s="98"/>
    </row>
    <row r="1180" spans="7:7" x14ac:dyDescent="0.3">
      <c r="G1180" s="98"/>
    </row>
    <row r="1181" spans="7:7" x14ac:dyDescent="0.3">
      <c r="G1181" s="98"/>
    </row>
    <row r="1182" spans="7:7" x14ac:dyDescent="0.3">
      <c r="G1182" s="98"/>
    </row>
    <row r="1183" spans="7:7" x14ac:dyDescent="0.3">
      <c r="G1183" s="98"/>
    </row>
    <row r="1184" spans="7:7" x14ac:dyDescent="0.3">
      <c r="G1184" s="98"/>
    </row>
    <row r="1185" spans="7:7" x14ac:dyDescent="0.3">
      <c r="G1185" s="98"/>
    </row>
    <row r="1186" spans="7:7" x14ac:dyDescent="0.3">
      <c r="G1186" s="98"/>
    </row>
    <row r="1187" spans="7:7" x14ac:dyDescent="0.3">
      <c r="G1187" s="98"/>
    </row>
    <row r="1188" spans="7:7" x14ac:dyDescent="0.3">
      <c r="G1188" s="98"/>
    </row>
    <row r="1189" spans="7:7" x14ac:dyDescent="0.3">
      <c r="G1189" s="98"/>
    </row>
    <row r="1190" spans="7:7" x14ac:dyDescent="0.3">
      <c r="G1190" s="98"/>
    </row>
    <row r="1191" spans="7:7" x14ac:dyDescent="0.3">
      <c r="G1191" s="98"/>
    </row>
    <row r="1192" spans="7:7" x14ac:dyDescent="0.3">
      <c r="G1192" s="98"/>
    </row>
    <row r="1193" spans="7:7" x14ac:dyDescent="0.3">
      <c r="G1193" s="98"/>
    </row>
    <row r="1194" spans="7:7" x14ac:dyDescent="0.3">
      <c r="G1194" s="98"/>
    </row>
    <row r="1195" spans="7:7" x14ac:dyDescent="0.3">
      <c r="G1195" s="98"/>
    </row>
    <row r="1196" spans="7:7" x14ac:dyDescent="0.3">
      <c r="G1196" s="98"/>
    </row>
    <row r="1197" spans="7:7" x14ac:dyDescent="0.3">
      <c r="G1197" s="98"/>
    </row>
    <row r="1198" spans="7:7" x14ac:dyDescent="0.3">
      <c r="G1198" s="98"/>
    </row>
    <row r="1199" spans="7:7" x14ac:dyDescent="0.3">
      <c r="G1199" s="98"/>
    </row>
    <row r="1200" spans="7:7" x14ac:dyDescent="0.3">
      <c r="G1200" s="98"/>
    </row>
    <row r="1201" spans="7:7" x14ac:dyDescent="0.3">
      <c r="G1201" s="98"/>
    </row>
    <row r="1202" spans="7:7" x14ac:dyDescent="0.3">
      <c r="G1202" s="98"/>
    </row>
    <row r="1203" spans="7:7" x14ac:dyDescent="0.3">
      <c r="G1203" s="98"/>
    </row>
    <row r="1204" spans="7:7" x14ac:dyDescent="0.3">
      <c r="G1204" s="98"/>
    </row>
    <row r="1205" spans="7:7" x14ac:dyDescent="0.3">
      <c r="G1205" s="98"/>
    </row>
    <row r="1206" spans="7:7" x14ac:dyDescent="0.3">
      <c r="G1206" s="98"/>
    </row>
    <row r="1207" spans="7:7" x14ac:dyDescent="0.3">
      <c r="G1207" s="98"/>
    </row>
    <row r="1208" spans="7:7" x14ac:dyDescent="0.3">
      <c r="G1208" s="98"/>
    </row>
    <row r="1209" spans="7:7" x14ac:dyDescent="0.3">
      <c r="G1209" s="98"/>
    </row>
    <row r="1210" spans="7:7" x14ac:dyDescent="0.3">
      <c r="G1210" s="98"/>
    </row>
    <row r="1211" spans="7:7" x14ac:dyDescent="0.3">
      <c r="G1211" s="98"/>
    </row>
    <row r="1212" spans="7:7" x14ac:dyDescent="0.3">
      <c r="G1212" s="98"/>
    </row>
    <row r="1213" spans="7:7" x14ac:dyDescent="0.3">
      <c r="G1213" s="98"/>
    </row>
    <row r="1214" spans="7:7" x14ac:dyDescent="0.3">
      <c r="G1214" s="98"/>
    </row>
    <row r="1215" spans="7:7" x14ac:dyDescent="0.3">
      <c r="G1215" s="98"/>
    </row>
    <row r="1216" spans="7:7" x14ac:dyDescent="0.3">
      <c r="G1216" s="98"/>
    </row>
    <row r="1217" spans="7:7" x14ac:dyDescent="0.3">
      <c r="G1217" s="98"/>
    </row>
    <row r="1218" spans="7:7" x14ac:dyDescent="0.3">
      <c r="G1218" s="98"/>
    </row>
    <row r="1219" spans="7:7" x14ac:dyDescent="0.3">
      <c r="G1219" s="98"/>
    </row>
    <row r="1220" spans="7:7" x14ac:dyDescent="0.3">
      <c r="G1220" s="98"/>
    </row>
    <row r="1221" spans="7:7" x14ac:dyDescent="0.3">
      <c r="G1221" s="98"/>
    </row>
    <row r="1222" spans="7:7" x14ac:dyDescent="0.3">
      <c r="G1222" s="98"/>
    </row>
    <row r="1223" spans="7:7" x14ac:dyDescent="0.3">
      <c r="G1223" s="98"/>
    </row>
    <row r="1224" spans="7:7" x14ac:dyDescent="0.3">
      <c r="G1224" s="98"/>
    </row>
    <row r="1225" spans="7:7" x14ac:dyDescent="0.3">
      <c r="G1225" s="98"/>
    </row>
    <row r="1226" spans="7:7" x14ac:dyDescent="0.3">
      <c r="G1226" s="98"/>
    </row>
    <row r="1227" spans="7:7" x14ac:dyDescent="0.3">
      <c r="G1227" s="98"/>
    </row>
    <row r="1228" spans="7:7" x14ac:dyDescent="0.3">
      <c r="G1228" s="98"/>
    </row>
    <row r="1229" spans="7:7" x14ac:dyDescent="0.3">
      <c r="G1229" s="98"/>
    </row>
    <row r="1230" spans="7:7" x14ac:dyDescent="0.3">
      <c r="G1230" s="98"/>
    </row>
    <row r="1231" spans="7:7" x14ac:dyDescent="0.3">
      <c r="G1231" s="98"/>
    </row>
    <row r="1232" spans="7:7" x14ac:dyDescent="0.3">
      <c r="G1232" s="98"/>
    </row>
    <row r="1233" spans="7:7" x14ac:dyDescent="0.3">
      <c r="G1233" s="98"/>
    </row>
    <row r="1234" spans="7:7" x14ac:dyDescent="0.3">
      <c r="G1234" s="98"/>
    </row>
    <row r="1235" spans="7:7" x14ac:dyDescent="0.3">
      <c r="G1235" s="98"/>
    </row>
    <row r="1236" spans="7:7" x14ac:dyDescent="0.3">
      <c r="G1236" s="98"/>
    </row>
    <row r="1237" spans="7:7" x14ac:dyDescent="0.3">
      <c r="G1237" s="98"/>
    </row>
    <row r="1238" spans="7:7" x14ac:dyDescent="0.3">
      <c r="G1238" s="98"/>
    </row>
    <row r="1239" spans="7:7" x14ac:dyDescent="0.3">
      <c r="G1239" s="98"/>
    </row>
    <row r="1240" spans="7:7" x14ac:dyDescent="0.3">
      <c r="G1240" s="98"/>
    </row>
    <row r="1241" spans="7:7" x14ac:dyDescent="0.3">
      <c r="G1241" s="98"/>
    </row>
    <row r="1242" spans="7:7" x14ac:dyDescent="0.3">
      <c r="G1242" s="98"/>
    </row>
    <row r="1243" spans="7:7" x14ac:dyDescent="0.3">
      <c r="G1243" s="98"/>
    </row>
    <row r="1244" spans="7:7" x14ac:dyDescent="0.3">
      <c r="G1244" s="98"/>
    </row>
    <row r="1245" spans="7:7" x14ac:dyDescent="0.3">
      <c r="G1245" s="98"/>
    </row>
    <row r="1246" spans="7:7" x14ac:dyDescent="0.3">
      <c r="G1246" s="98"/>
    </row>
    <row r="1247" spans="7:7" x14ac:dyDescent="0.3">
      <c r="G1247" s="98"/>
    </row>
    <row r="1248" spans="7:7" x14ac:dyDescent="0.3">
      <c r="G1248" s="98"/>
    </row>
    <row r="1249" spans="7:7" x14ac:dyDescent="0.3">
      <c r="G1249" s="98"/>
    </row>
    <row r="1250" spans="7:7" x14ac:dyDescent="0.3">
      <c r="G1250" s="98"/>
    </row>
    <row r="1251" spans="7:7" x14ac:dyDescent="0.3">
      <c r="G1251" s="98"/>
    </row>
    <row r="1252" spans="7:7" x14ac:dyDescent="0.3">
      <c r="G1252" s="98"/>
    </row>
    <row r="1253" spans="7:7" x14ac:dyDescent="0.3">
      <c r="G1253" s="98"/>
    </row>
    <row r="1254" spans="7:7" x14ac:dyDescent="0.3">
      <c r="G1254" s="98"/>
    </row>
    <row r="1255" spans="7:7" x14ac:dyDescent="0.3">
      <c r="G1255" s="98"/>
    </row>
    <row r="1256" spans="7:7" x14ac:dyDescent="0.3">
      <c r="G1256" s="98"/>
    </row>
    <row r="1257" spans="7:7" x14ac:dyDescent="0.3">
      <c r="G1257" s="98"/>
    </row>
    <row r="1258" spans="7:7" x14ac:dyDescent="0.3">
      <c r="G1258" s="98"/>
    </row>
    <row r="1259" spans="7:7" x14ac:dyDescent="0.3">
      <c r="G1259" s="98"/>
    </row>
    <row r="1260" spans="7:7" x14ac:dyDescent="0.3">
      <c r="G1260" s="98"/>
    </row>
    <row r="1261" spans="7:7" x14ac:dyDescent="0.3">
      <c r="G1261" s="98"/>
    </row>
    <row r="1262" spans="7:7" x14ac:dyDescent="0.3">
      <c r="G1262" s="98"/>
    </row>
    <row r="1263" spans="7:7" x14ac:dyDescent="0.3">
      <c r="G1263" s="98"/>
    </row>
    <row r="1264" spans="7:7" x14ac:dyDescent="0.3">
      <c r="G1264" s="98"/>
    </row>
    <row r="1265" spans="7:7" x14ac:dyDescent="0.3">
      <c r="G1265" s="98"/>
    </row>
    <row r="1266" spans="7:7" x14ac:dyDescent="0.3">
      <c r="G1266" s="98"/>
    </row>
    <row r="1267" spans="7:7" x14ac:dyDescent="0.3">
      <c r="G1267" s="98"/>
    </row>
    <row r="1268" spans="7:7" x14ac:dyDescent="0.3">
      <c r="G1268" s="98"/>
    </row>
    <row r="1269" spans="7:7" x14ac:dyDescent="0.3">
      <c r="G1269" s="98"/>
    </row>
    <row r="1270" spans="7:7" x14ac:dyDescent="0.3">
      <c r="G1270" s="98"/>
    </row>
    <row r="1271" spans="7:7" x14ac:dyDescent="0.3">
      <c r="G1271" s="98"/>
    </row>
    <row r="1272" spans="7:7" x14ac:dyDescent="0.3">
      <c r="G1272" s="98"/>
    </row>
    <row r="1273" spans="7:7" x14ac:dyDescent="0.3">
      <c r="G1273" s="98"/>
    </row>
    <row r="1274" spans="7:7" x14ac:dyDescent="0.3">
      <c r="G1274" s="98"/>
    </row>
    <row r="1275" spans="7:7" x14ac:dyDescent="0.3">
      <c r="G1275" s="98"/>
    </row>
    <row r="1276" spans="7:7" x14ac:dyDescent="0.3">
      <c r="G1276" s="98"/>
    </row>
    <row r="1277" spans="7:7" x14ac:dyDescent="0.3">
      <c r="G1277" s="98"/>
    </row>
    <row r="1278" spans="7:7" x14ac:dyDescent="0.3">
      <c r="G1278" s="98"/>
    </row>
    <row r="1279" spans="7:7" x14ac:dyDescent="0.3">
      <c r="G1279" s="98"/>
    </row>
    <row r="1280" spans="7:7" x14ac:dyDescent="0.3">
      <c r="G1280" s="98"/>
    </row>
    <row r="1281" spans="7:7" x14ac:dyDescent="0.3">
      <c r="G1281" s="98"/>
    </row>
    <row r="1282" spans="7:7" x14ac:dyDescent="0.3">
      <c r="G1282" s="98"/>
    </row>
    <row r="1283" spans="7:7" x14ac:dyDescent="0.3">
      <c r="G1283" s="98"/>
    </row>
    <row r="1284" spans="7:7" x14ac:dyDescent="0.3">
      <c r="G1284" s="98"/>
    </row>
    <row r="1285" spans="7:7" x14ac:dyDescent="0.3">
      <c r="G1285" s="98"/>
    </row>
    <row r="1286" spans="7:7" x14ac:dyDescent="0.3">
      <c r="G1286" s="98"/>
    </row>
    <row r="1287" spans="7:7" x14ac:dyDescent="0.3">
      <c r="G1287" s="98"/>
    </row>
    <row r="1288" spans="7:7" x14ac:dyDescent="0.3">
      <c r="G1288" s="98"/>
    </row>
    <row r="1289" spans="7:7" x14ac:dyDescent="0.3">
      <c r="G1289" s="98"/>
    </row>
    <row r="1290" spans="7:7" x14ac:dyDescent="0.3">
      <c r="G1290" s="98"/>
    </row>
    <row r="1291" spans="7:7" x14ac:dyDescent="0.3">
      <c r="G1291" s="98"/>
    </row>
    <row r="1292" spans="7:7" x14ac:dyDescent="0.3">
      <c r="G1292" s="98"/>
    </row>
    <row r="1293" spans="7:7" x14ac:dyDescent="0.3">
      <c r="G1293" s="98"/>
    </row>
    <row r="1294" spans="7:7" x14ac:dyDescent="0.3">
      <c r="G1294" s="98"/>
    </row>
    <row r="1295" spans="7:7" x14ac:dyDescent="0.3">
      <c r="G1295" s="98"/>
    </row>
    <row r="1296" spans="7:7" x14ac:dyDescent="0.3">
      <c r="G1296" s="98"/>
    </row>
    <row r="1297" spans="7:7" x14ac:dyDescent="0.3">
      <c r="G1297" s="98"/>
    </row>
    <row r="1298" spans="7:7" x14ac:dyDescent="0.3">
      <c r="G1298" s="98"/>
    </row>
    <row r="1299" spans="7:7" x14ac:dyDescent="0.3">
      <c r="G1299" s="98"/>
    </row>
    <row r="1300" spans="7:7" x14ac:dyDescent="0.3">
      <c r="G1300" s="98"/>
    </row>
    <row r="1301" spans="7:7" x14ac:dyDescent="0.3">
      <c r="G1301" s="98"/>
    </row>
    <row r="1302" spans="7:7" x14ac:dyDescent="0.3">
      <c r="G1302" s="98"/>
    </row>
    <row r="1303" spans="7:7" x14ac:dyDescent="0.3">
      <c r="G1303" s="98"/>
    </row>
    <row r="1304" spans="7:7" x14ac:dyDescent="0.3">
      <c r="G1304" s="98"/>
    </row>
    <row r="1305" spans="7:7" x14ac:dyDescent="0.3">
      <c r="G1305" s="98"/>
    </row>
    <row r="1306" spans="7:7" x14ac:dyDescent="0.3">
      <c r="G1306" s="98"/>
    </row>
    <row r="1307" spans="7:7" x14ac:dyDescent="0.3">
      <c r="G1307" s="98"/>
    </row>
    <row r="1308" spans="7:7" x14ac:dyDescent="0.3">
      <c r="G1308" s="98"/>
    </row>
    <row r="1309" spans="7:7" x14ac:dyDescent="0.3">
      <c r="G1309" s="98"/>
    </row>
    <row r="1310" spans="7:7" x14ac:dyDescent="0.3">
      <c r="G1310" s="98"/>
    </row>
    <row r="1311" spans="7:7" x14ac:dyDescent="0.3">
      <c r="G1311" s="98"/>
    </row>
    <row r="1312" spans="7:7" x14ac:dyDescent="0.3">
      <c r="G1312" s="98"/>
    </row>
    <row r="1313" spans="7:7" x14ac:dyDescent="0.3">
      <c r="G1313" s="98"/>
    </row>
    <row r="1314" spans="7:7" x14ac:dyDescent="0.3">
      <c r="G1314" s="98"/>
    </row>
    <row r="1315" spans="7:7" x14ac:dyDescent="0.3">
      <c r="G1315" s="98"/>
    </row>
    <row r="1316" spans="7:7" x14ac:dyDescent="0.3">
      <c r="G1316" s="98"/>
    </row>
    <row r="1317" spans="7:7" x14ac:dyDescent="0.3">
      <c r="G1317" s="98"/>
    </row>
    <row r="1318" spans="7:7" x14ac:dyDescent="0.3">
      <c r="G1318" s="98"/>
    </row>
    <row r="1319" spans="7:7" x14ac:dyDescent="0.3">
      <c r="G1319" s="98"/>
    </row>
    <row r="1320" spans="7:7" x14ac:dyDescent="0.3">
      <c r="G1320" s="98"/>
    </row>
    <row r="1321" spans="7:7" x14ac:dyDescent="0.3">
      <c r="G1321" s="98"/>
    </row>
    <row r="1322" spans="7:7" x14ac:dyDescent="0.3">
      <c r="G1322" s="98"/>
    </row>
    <row r="1323" spans="7:7" x14ac:dyDescent="0.3">
      <c r="G1323" s="98"/>
    </row>
    <row r="1324" spans="7:7" x14ac:dyDescent="0.3">
      <c r="G1324" s="98"/>
    </row>
    <row r="1325" spans="7:7" x14ac:dyDescent="0.3">
      <c r="G1325" s="98"/>
    </row>
    <row r="1326" spans="7:7" x14ac:dyDescent="0.3">
      <c r="G1326" s="98"/>
    </row>
    <row r="1327" spans="7:7" x14ac:dyDescent="0.3">
      <c r="G1327" s="98"/>
    </row>
    <row r="1328" spans="7:7" x14ac:dyDescent="0.3">
      <c r="G1328" s="98"/>
    </row>
    <row r="1329" spans="7:7" x14ac:dyDescent="0.3">
      <c r="G1329" s="98"/>
    </row>
    <row r="1330" spans="7:7" x14ac:dyDescent="0.3">
      <c r="G1330" s="98"/>
    </row>
    <row r="1331" spans="7:7" x14ac:dyDescent="0.3">
      <c r="G1331" s="98"/>
    </row>
    <row r="1332" spans="7:7" x14ac:dyDescent="0.3">
      <c r="G1332" s="98"/>
    </row>
    <row r="1333" spans="7:7" x14ac:dyDescent="0.3">
      <c r="G1333" s="98"/>
    </row>
    <row r="1334" spans="7:7" x14ac:dyDescent="0.3">
      <c r="G1334" s="98"/>
    </row>
    <row r="1335" spans="7:7" x14ac:dyDescent="0.3">
      <c r="G1335" s="98"/>
    </row>
    <row r="1336" spans="7:7" x14ac:dyDescent="0.3">
      <c r="G1336" s="98"/>
    </row>
    <row r="1337" spans="7:7" x14ac:dyDescent="0.3">
      <c r="G1337" s="98"/>
    </row>
    <row r="1338" spans="7:7" x14ac:dyDescent="0.3">
      <c r="G1338" s="98"/>
    </row>
    <row r="1339" spans="7:7" x14ac:dyDescent="0.3">
      <c r="G1339" s="98"/>
    </row>
    <row r="1340" spans="7:7" x14ac:dyDescent="0.3">
      <c r="G1340" s="98"/>
    </row>
    <row r="1341" spans="7:7" x14ac:dyDescent="0.3">
      <c r="G1341" s="98"/>
    </row>
    <row r="1342" spans="7:7" x14ac:dyDescent="0.3">
      <c r="G1342" s="98"/>
    </row>
    <row r="1343" spans="7:7" x14ac:dyDescent="0.3">
      <c r="G1343" s="98"/>
    </row>
    <row r="1344" spans="7:7" x14ac:dyDescent="0.3">
      <c r="G1344" s="98"/>
    </row>
    <row r="1345" spans="7:7" x14ac:dyDescent="0.3">
      <c r="G1345" s="98"/>
    </row>
    <row r="1346" spans="7:7" x14ac:dyDescent="0.3">
      <c r="G1346" s="98"/>
    </row>
    <row r="1347" spans="7:7" x14ac:dyDescent="0.3">
      <c r="G1347" s="98"/>
    </row>
    <row r="1348" spans="7:7" x14ac:dyDescent="0.3">
      <c r="G1348" s="98"/>
    </row>
    <row r="1349" spans="7:7" x14ac:dyDescent="0.3">
      <c r="G1349" s="98"/>
    </row>
    <row r="1350" spans="7:7" x14ac:dyDescent="0.3">
      <c r="G1350" s="98"/>
    </row>
    <row r="1351" spans="7:7" x14ac:dyDescent="0.3">
      <c r="G1351" s="98"/>
    </row>
    <row r="1352" spans="7:7" x14ac:dyDescent="0.3">
      <c r="G1352" s="98"/>
    </row>
    <row r="1353" spans="7:7" x14ac:dyDescent="0.3">
      <c r="G1353" s="98"/>
    </row>
    <row r="1354" spans="7:7" x14ac:dyDescent="0.3">
      <c r="G1354" s="98"/>
    </row>
    <row r="1355" spans="7:7" x14ac:dyDescent="0.3">
      <c r="G1355" s="98"/>
    </row>
    <row r="1356" spans="7:7" x14ac:dyDescent="0.3">
      <c r="G1356" s="98"/>
    </row>
    <row r="1357" spans="7:7" x14ac:dyDescent="0.3">
      <c r="G1357" s="98"/>
    </row>
    <row r="1358" spans="7:7" x14ac:dyDescent="0.3">
      <c r="G1358" s="98"/>
    </row>
    <row r="1359" spans="7:7" x14ac:dyDescent="0.3">
      <c r="G1359" s="98"/>
    </row>
    <row r="1360" spans="7:7" x14ac:dyDescent="0.3">
      <c r="G1360" s="98"/>
    </row>
    <row r="1361" spans="7:7" x14ac:dyDescent="0.3">
      <c r="G1361" s="98"/>
    </row>
    <row r="1362" spans="7:7" x14ac:dyDescent="0.3">
      <c r="G1362" s="98"/>
    </row>
    <row r="1363" spans="7:7" x14ac:dyDescent="0.3">
      <c r="G1363" s="98"/>
    </row>
    <row r="1364" spans="7:7" x14ac:dyDescent="0.3">
      <c r="G1364" s="98"/>
    </row>
    <row r="1365" spans="7:7" x14ac:dyDescent="0.3">
      <c r="G1365" s="98"/>
    </row>
    <row r="1366" spans="7:7" x14ac:dyDescent="0.3">
      <c r="G1366" s="98"/>
    </row>
    <row r="1367" spans="7:7" x14ac:dyDescent="0.3">
      <c r="G1367" s="98"/>
    </row>
    <row r="1368" spans="7:7" x14ac:dyDescent="0.3">
      <c r="G1368" s="98"/>
    </row>
    <row r="1369" spans="7:7" x14ac:dyDescent="0.3">
      <c r="G1369" s="98"/>
    </row>
    <row r="1370" spans="7:7" x14ac:dyDescent="0.3">
      <c r="G1370" s="98"/>
    </row>
    <row r="1371" spans="7:7" x14ac:dyDescent="0.3">
      <c r="G1371" s="98"/>
    </row>
    <row r="1372" spans="7:7" x14ac:dyDescent="0.3">
      <c r="G1372" s="98"/>
    </row>
    <row r="1373" spans="7:7" x14ac:dyDescent="0.3">
      <c r="G1373" s="98"/>
    </row>
    <row r="1374" spans="7:7" x14ac:dyDescent="0.3">
      <c r="G1374" s="98"/>
    </row>
    <row r="1375" spans="7:7" x14ac:dyDescent="0.3">
      <c r="G1375" s="98"/>
    </row>
    <row r="1376" spans="7:7" x14ac:dyDescent="0.3">
      <c r="G1376" s="98"/>
    </row>
    <row r="1377" spans="7:7" x14ac:dyDescent="0.3">
      <c r="G1377" s="98"/>
    </row>
    <row r="1378" spans="7:7" x14ac:dyDescent="0.3">
      <c r="G1378" s="98"/>
    </row>
    <row r="1379" spans="7:7" x14ac:dyDescent="0.3">
      <c r="G1379" s="98"/>
    </row>
    <row r="1380" spans="7:7" x14ac:dyDescent="0.3">
      <c r="G1380" s="98"/>
    </row>
    <row r="1381" spans="7:7" x14ac:dyDescent="0.3">
      <c r="G1381" s="98"/>
    </row>
    <row r="1382" spans="7:7" x14ac:dyDescent="0.3">
      <c r="G1382" s="98"/>
    </row>
    <row r="1383" spans="7:7" x14ac:dyDescent="0.3">
      <c r="G1383" s="98"/>
    </row>
    <row r="1384" spans="7:7" x14ac:dyDescent="0.3">
      <c r="G1384" s="98"/>
    </row>
    <row r="1385" spans="7:7" x14ac:dyDescent="0.3">
      <c r="G1385" s="98"/>
    </row>
    <row r="1386" spans="7:7" x14ac:dyDescent="0.3">
      <c r="G1386" s="98"/>
    </row>
    <row r="1387" spans="7:7" x14ac:dyDescent="0.3">
      <c r="G1387" s="98"/>
    </row>
    <row r="1388" spans="7:7" x14ac:dyDescent="0.3">
      <c r="G1388" s="98"/>
    </row>
    <row r="1389" spans="7:7" x14ac:dyDescent="0.3">
      <c r="G1389" s="98"/>
    </row>
    <row r="1390" spans="7:7" x14ac:dyDescent="0.3">
      <c r="G1390" s="98"/>
    </row>
    <row r="1391" spans="7:7" x14ac:dyDescent="0.3">
      <c r="G1391" s="98"/>
    </row>
    <row r="1392" spans="7:7" x14ac:dyDescent="0.3">
      <c r="G1392" s="98"/>
    </row>
    <row r="1393" spans="7:7" x14ac:dyDescent="0.3">
      <c r="G1393" s="98"/>
    </row>
    <row r="1394" spans="7:7" x14ac:dyDescent="0.3">
      <c r="G1394" s="98"/>
    </row>
    <row r="1395" spans="7:7" x14ac:dyDescent="0.3">
      <c r="G1395" s="98"/>
    </row>
    <row r="1396" spans="7:7" x14ac:dyDescent="0.3">
      <c r="G1396" s="98"/>
    </row>
    <row r="1397" spans="7:7" x14ac:dyDescent="0.3">
      <c r="G1397" s="98"/>
    </row>
    <row r="1398" spans="7:7" x14ac:dyDescent="0.3">
      <c r="G1398" s="98"/>
    </row>
    <row r="1399" spans="7:7" x14ac:dyDescent="0.3">
      <c r="G1399" s="98"/>
    </row>
    <row r="1400" spans="7:7" x14ac:dyDescent="0.3">
      <c r="G1400" s="98"/>
    </row>
    <row r="1401" spans="7:7" x14ac:dyDescent="0.3">
      <c r="G1401" s="98"/>
    </row>
    <row r="1402" spans="7:7" x14ac:dyDescent="0.3">
      <c r="G1402" s="98"/>
    </row>
    <row r="1403" spans="7:7" x14ac:dyDescent="0.3">
      <c r="G1403" s="98"/>
    </row>
    <row r="1404" spans="7:7" x14ac:dyDescent="0.3">
      <c r="G1404" s="98"/>
    </row>
    <row r="1405" spans="7:7" x14ac:dyDescent="0.3">
      <c r="G1405" s="98"/>
    </row>
    <row r="1406" spans="7:7" x14ac:dyDescent="0.3">
      <c r="G1406" s="98"/>
    </row>
    <row r="1407" spans="7:7" x14ac:dyDescent="0.3">
      <c r="G1407" s="98"/>
    </row>
    <row r="1408" spans="7:7" x14ac:dyDescent="0.3">
      <c r="G1408" s="98"/>
    </row>
    <row r="1409" spans="7:7" x14ac:dyDescent="0.3">
      <c r="G1409" s="98"/>
    </row>
    <row r="1410" spans="7:7" x14ac:dyDescent="0.3">
      <c r="G1410" s="98"/>
    </row>
    <row r="1411" spans="7:7" x14ac:dyDescent="0.3">
      <c r="G1411" s="98"/>
    </row>
    <row r="1412" spans="7:7" x14ac:dyDescent="0.3">
      <c r="G1412" s="98"/>
    </row>
    <row r="1413" spans="7:7" x14ac:dyDescent="0.3">
      <c r="G1413" s="98"/>
    </row>
    <row r="1414" spans="7:7" x14ac:dyDescent="0.3">
      <c r="G1414" s="98"/>
    </row>
    <row r="1415" spans="7:7" x14ac:dyDescent="0.3">
      <c r="G1415" s="98"/>
    </row>
    <row r="1416" spans="7:7" x14ac:dyDescent="0.3">
      <c r="G1416" s="98"/>
    </row>
    <row r="1417" spans="7:7" x14ac:dyDescent="0.3">
      <c r="G1417" s="98"/>
    </row>
    <row r="1418" spans="7:7" x14ac:dyDescent="0.3">
      <c r="G1418" s="98"/>
    </row>
    <row r="1419" spans="7:7" x14ac:dyDescent="0.3">
      <c r="G1419" s="98"/>
    </row>
    <row r="1420" spans="7:7" x14ac:dyDescent="0.3">
      <c r="G1420" s="98"/>
    </row>
    <row r="1421" spans="7:7" x14ac:dyDescent="0.3">
      <c r="G1421" s="98"/>
    </row>
    <row r="1422" spans="7:7" x14ac:dyDescent="0.3">
      <c r="G1422" s="98"/>
    </row>
    <row r="1423" spans="7:7" x14ac:dyDescent="0.3">
      <c r="G1423" s="98"/>
    </row>
    <row r="1424" spans="7:7" x14ac:dyDescent="0.3">
      <c r="G1424" s="98"/>
    </row>
    <row r="1425" spans="7:7" x14ac:dyDescent="0.3">
      <c r="G1425" s="98"/>
    </row>
    <row r="1426" spans="7:7" x14ac:dyDescent="0.3">
      <c r="G1426" s="98"/>
    </row>
    <row r="1427" spans="7:7" x14ac:dyDescent="0.3">
      <c r="G1427" s="98"/>
    </row>
    <row r="1428" spans="7:7" x14ac:dyDescent="0.3">
      <c r="G1428" s="98"/>
    </row>
    <row r="1429" spans="7:7" x14ac:dyDescent="0.3">
      <c r="G1429" s="98"/>
    </row>
    <row r="1430" spans="7:7" x14ac:dyDescent="0.3">
      <c r="G1430" s="98"/>
    </row>
    <row r="1431" spans="7:7" x14ac:dyDescent="0.3">
      <c r="G1431" s="98"/>
    </row>
    <row r="1432" spans="7:7" x14ac:dyDescent="0.3">
      <c r="G1432" s="98"/>
    </row>
    <row r="1433" spans="7:7" x14ac:dyDescent="0.3">
      <c r="G1433" s="98"/>
    </row>
    <row r="1434" spans="7:7" x14ac:dyDescent="0.3">
      <c r="G1434" s="98"/>
    </row>
    <row r="1435" spans="7:7" x14ac:dyDescent="0.3">
      <c r="G1435" s="98"/>
    </row>
    <row r="1436" spans="7:7" x14ac:dyDescent="0.3">
      <c r="G1436" s="98"/>
    </row>
    <row r="1437" spans="7:7" x14ac:dyDescent="0.3">
      <c r="G1437" s="98"/>
    </row>
    <row r="1438" spans="7:7" x14ac:dyDescent="0.3">
      <c r="G1438" s="98"/>
    </row>
    <row r="1439" spans="7:7" x14ac:dyDescent="0.3">
      <c r="G1439" s="98"/>
    </row>
    <row r="1440" spans="7:7" x14ac:dyDescent="0.3">
      <c r="G1440" s="98"/>
    </row>
    <row r="1441" spans="7:7" x14ac:dyDescent="0.3">
      <c r="G1441" s="98"/>
    </row>
    <row r="1442" spans="7:7" x14ac:dyDescent="0.3">
      <c r="G1442" s="98"/>
    </row>
    <row r="1443" spans="7:7" x14ac:dyDescent="0.3">
      <c r="G1443" s="98"/>
    </row>
    <row r="1444" spans="7:7" x14ac:dyDescent="0.3">
      <c r="G1444" s="98"/>
    </row>
    <row r="1445" spans="7:7" x14ac:dyDescent="0.3">
      <c r="G1445" s="98"/>
    </row>
    <row r="1446" spans="7:7" x14ac:dyDescent="0.3">
      <c r="G1446" s="98"/>
    </row>
    <row r="1447" spans="7:7" x14ac:dyDescent="0.3">
      <c r="G1447" s="98"/>
    </row>
    <row r="1448" spans="7:7" x14ac:dyDescent="0.3">
      <c r="G1448" s="98"/>
    </row>
    <row r="1449" spans="7:7" x14ac:dyDescent="0.3">
      <c r="G1449" s="98"/>
    </row>
    <row r="1450" spans="7:7" x14ac:dyDescent="0.3">
      <c r="G1450" s="98"/>
    </row>
    <row r="1451" spans="7:7" x14ac:dyDescent="0.3">
      <c r="G1451" s="98"/>
    </row>
    <row r="1452" spans="7:7" x14ac:dyDescent="0.3">
      <c r="G1452" s="98"/>
    </row>
    <row r="1453" spans="7:7" x14ac:dyDescent="0.3">
      <c r="G1453" s="98"/>
    </row>
    <row r="1454" spans="7:7" x14ac:dyDescent="0.3">
      <c r="G1454" s="98"/>
    </row>
    <row r="1455" spans="7:7" x14ac:dyDescent="0.3">
      <c r="G1455" s="98"/>
    </row>
    <row r="1456" spans="7:7" x14ac:dyDescent="0.3">
      <c r="G1456" s="98"/>
    </row>
    <row r="1457" spans="7:7" x14ac:dyDescent="0.3">
      <c r="G1457" s="98"/>
    </row>
    <row r="1458" spans="7:7" x14ac:dyDescent="0.3">
      <c r="G1458" s="98"/>
    </row>
    <row r="1459" spans="7:7" x14ac:dyDescent="0.3">
      <c r="G1459" s="98"/>
    </row>
    <row r="1460" spans="7:7" x14ac:dyDescent="0.3">
      <c r="G1460" s="98"/>
    </row>
    <row r="1461" spans="7:7" x14ac:dyDescent="0.3">
      <c r="G1461" s="98"/>
    </row>
    <row r="1462" spans="7:7" x14ac:dyDescent="0.3">
      <c r="G1462" s="98"/>
    </row>
    <row r="1463" spans="7:7" x14ac:dyDescent="0.3">
      <c r="G1463" s="98"/>
    </row>
    <row r="1464" spans="7:7" x14ac:dyDescent="0.3">
      <c r="G1464" s="98"/>
    </row>
    <row r="1465" spans="7:7" x14ac:dyDescent="0.3">
      <c r="G1465" s="98"/>
    </row>
    <row r="1466" spans="7:7" x14ac:dyDescent="0.3">
      <c r="G1466" s="98"/>
    </row>
    <row r="1467" spans="7:7" x14ac:dyDescent="0.3">
      <c r="G1467" s="98"/>
    </row>
    <row r="1468" spans="7:7" x14ac:dyDescent="0.3">
      <c r="G1468" s="98"/>
    </row>
    <row r="1469" spans="7:7" x14ac:dyDescent="0.3">
      <c r="G1469" s="98"/>
    </row>
    <row r="1470" spans="7:7" x14ac:dyDescent="0.3">
      <c r="G1470" s="98"/>
    </row>
    <row r="1471" spans="7:7" x14ac:dyDescent="0.3">
      <c r="G1471" s="98"/>
    </row>
    <row r="1472" spans="7:7" x14ac:dyDescent="0.3">
      <c r="G1472" s="98"/>
    </row>
    <row r="1473" spans="7:7" x14ac:dyDescent="0.3">
      <c r="G1473" s="98"/>
    </row>
    <row r="1474" spans="7:7" x14ac:dyDescent="0.3">
      <c r="G1474" s="98"/>
    </row>
    <row r="1475" spans="7:7" x14ac:dyDescent="0.3">
      <c r="G1475" s="98"/>
    </row>
    <row r="1476" spans="7:7" x14ac:dyDescent="0.3">
      <c r="G1476" s="98"/>
    </row>
    <row r="1477" spans="7:7" x14ac:dyDescent="0.3">
      <c r="G1477" s="98"/>
    </row>
    <row r="1478" spans="7:7" x14ac:dyDescent="0.3">
      <c r="G1478" s="98"/>
    </row>
    <row r="1479" spans="7:7" x14ac:dyDescent="0.3">
      <c r="G1479" s="98"/>
    </row>
    <row r="1480" spans="7:7" x14ac:dyDescent="0.3">
      <c r="G1480" s="98"/>
    </row>
    <row r="1481" spans="7:7" x14ac:dyDescent="0.3">
      <c r="G1481" s="98"/>
    </row>
    <row r="1482" spans="7:7" x14ac:dyDescent="0.3">
      <c r="G1482" s="98"/>
    </row>
    <row r="1483" spans="7:7" x14ac:dyDescent="0.3">
      <c r="G1483" s="98"/>
    </row>
    <row r="1484" spans="7:7" x14ac:dyDescent="0.3">
      <c r="G1484" s="98"/>
    </row>
    <row r="1485" spans="7:7" x14ac:dyDescent="0.3">
      <c r="G1485" s="98"/>
    </row>
    <row r="1486" spans="7:7" x14ac:dyDescent="0.3">
      <c r="G1486" s="98"/>
    </row>
    <row r="1487" spans="7:7" x14ac:dyDescent="0.3">
      <c r="G1487" s="98"/>
    </row>
    <row r="1488" spans="7:7" x14ac:dyDescent="0.3">
      <c r="G1488" s="98"/>
    </row>
    <row r="1489" spans="7:7" x14ac:dyDescent="0.3">
      <c r="G1489" s="98"/>
    </row>
    <row r="1490" spans="7:7" x14ac:dyDescent="0.3">
      <c r="G1490" s="98"/>
    </row>
    <row r="1491" spans="7:7" x14ac:dyDescent="0.3">
      <c r="G1491" s="98"/>
    </row>
    <row r="1492" spans="7:7" x14ac:dyDescent="0.3">
      <c r="G1492" s="98"/>
    </row>
    <row r="1493" spans="7:7" x14ac:dyDescent="0.3">
      <c r="G1493" s="98"/>
    </row>
    <row r="1494" spans="7:7" x14ac:dyDescent="0.3">
      <c r="G1494" s="98"/>
    </row>
    <row r="1495" spans="7:7" x14ac:dyDescent="0.3">
      <c r="G1495" s="98"/>
    </row>
    <row r="1496" spans="7:7" x14ac:dyDescent="0.3">
      <c r="G1496" s="98"/>
    </row>
    <row r="1497" spans="7:7" x14ac:dyDescent="0.3">
      <c r="G1497" s="98"/>
    </row>
    <row r="1498" spans="7:7" x14ac:dyDescent="0.3">
      <c r="G1498" s="98"/>
    </row>
    <row r="1499" spans="7:7" x14ac:dyDescent="0.3">
      <c r="G1499" s="98"/>
    </row>
    <row r="1500" spans="7:7" x14ac:dyDescent="0.3">
      <c r="G1500" s="98"/>
    </row>
    <row r="1501" spans="7:7" x14ac:dyDescent="0.3">
      <c r="G1501" s="98"/>
    </row>
    <row r="1502" spans="7:7" x14ac:dyDescent="0.3">
      <c r="G1502" s="98"/>
    </row>
    <row r="1503" spans="7:7" x14ac:dyDescent="0.3">
      <c r="G1503" s="98"/>
    </row>
    <row r="1504" spans="7:7" x14ac:dyDescent="0.3">
      <c r="G1504" s="98"/>
    </row>
    <row r="1505" spans="7:7" x14ac:dyDescent="0.3">
      <c r="G1505" s="98"/>
    </row>
    <row r="1506" spans="7:7" x14ac:dyDescent="0.3">
      <c r="G1506" s="98"/>
    </row>
    <row r="1507" spans="7:7" x14ac:dyDescent="0.3">
      <c r="G1507" s="98"/>
    </row>
    <row r="1508" spans="7:7" x14ac:dyDescent="0.3">
      <c r="G1508" s="98"/>
    </row>
    <row r="1509" spans="7:7" x14ac:dyDescent="0.3">
      <c r="G1509" s="98"/>
    </row>
    <row r="1510" spans="7:7" x14ac:dyDescent="0.3">
      <c r="G1510" s="98"/>
    </row>
    <row r="1511" spans="7:7" x14ac:dyDescent="0.3">
      <c r="G1511" s="98"/>
    </row>
    <row r="1512" spans="7:7" x14ac:dyDescent="0.3">
      <c r="G1512" s="98"/>
    </row>
    <row r="1513" spans="7:7" x14ac:dyDescent="0.3">
      <c r="G1513" s="98"/>
    </row>
    <row r="1514" spans="7:7" x14ac:dyDescent="0.3">
      <c r="G1514" s="98"/>
    </row>
    <row r="1515" spans="7:7" x14ac:dyDescent="0.3">
      <c r="G1515" s="98"/>
    </row>
    <row r="1516" spans="7:7" x14ac:dyDescent="0.3">
      <c r="G1516" s="98"/>
    </row>
    <row r="1517" spans="7:7" x14ac:dyDescent="0.3">
      <c r="G1517" s="98"/>
    </row>
    <row r="1518" spans="7:7" x14ac:dyDescent="0.3">
      <c r="G1518" s="98"/>
    </row>
    <row r="1519" spans="7:7" x14ac:dyDescent="0.3">
      <c r="G1519" s="98"/>
    </row>
    <row r="1520" spans="7:7" x14ac:dyDescent="0.3">
      <c r="G1520" s="98"/>
    </row>
    <row r="1521" spans="7:7" x14ac:dyDescent="0.3">
      <c r="G1521" s="98"/>
    </row>
    <row r="1522" spans="7:7" x14ac:dyDescent="0.3">
      <c r="G1522" s="98"/>
    </row>
    <row r="1523" spans="7:7" x14ac:dyDescent="0.3">
      <c r="G1523" s="98"/>
    </row>
    <row r="1524" spans="7:7" x14ac:dyDescent="0.3">
      <c r="G1524" s="98"/>
    </row>
    <row r="1525" spans="7:7" x14ac:dyDescent="0.3">
      <c r="G1525" s="98"/>
    </row>
    <row r="1526" spans="7:7" x14ac:dyDescent="0.3">
      <c r="G1526" s="98"/>
    </row>
    <row r="1527" spans="7:7" x14ac:dyDescent="0.3">
      <c r="G1527" s="98"/>
    </row>
    <row r="1528" spans="7:7" x14ac:dyDescent="0.3">
      <c r="G1528" s="98"/>
    </row>
    <row r="1529" spans="7:7" x14ac:dyDescent="0.3">
      <c r="G1529" s="98"/>
    </row>
    <row r="1530" spans="7:7" x14ac:dyDescent="0.3">
      <c r="G1530" s="98"/>
    </row>
    <row r="1531" spans="7:7" x14ac:dyDescent="0.3">
      <c r="G1531" s="98"/>
    </row>
    <row r="1532" spans="7:7" x14ac:dyDescent="0.3">
      <c r="G1532" s="98"/>
    </row>
    <row r="1533" spans="7:7" x14ac:dyDescent="0.3">
      <c r="G1533" s="98"/>
    </row>
    <row r="1534" spans="7:7" x14ac:dyDescent="0.3">
      <c r="G1534" s="98"/>
    </row>
    <row r="1535" spans="7:7" x14ac:dyDescent="0.3">
      <c r="G1535" s="98"/>
    </row>
    <row r="1536" spans="7:7" x14ac:dyDescent="0.3">
      <c r="G1536" s="98"/>
    </row>
    <row r="1537" spans="7:7" x14ac:dyDescent="0.3">
      <c r="G1537" s="98"/>
    </row>
    <row r="1538" spans="7:7" x14ac:dyDescent="0.3">
      <c r="G1538" s="98"/>
    </row>
    <row r="1539" spans="7:7" x14ac:dyDescent="0.3">
      <c r="G1539" s="98"/>
    </row>
    <row r="1540" spans="7:7" x14ac:dyDescent="0.3">
      <c r="G1540" s="98"/>
    </row>
    <row r="1541" spans="7:7" x14ac:dyDescent="0.3">
      <c r="G1541" s="98"/>
    </row>
    <row r="1542" spans="7:7" x14ac:dyDescent="0.3">
      <c r="G1542" s="98"/>
    </row>
    <row r="1543" spans="7:7" x14ac:dyDescent="0.3">
      <c r="G1543" s="98"/>
    </row>
    <row r="1544" spans="7:7" x14ac:dyDescent="0.3">
      <c r="G1544" s="98"/>
    </row>
    <row r="1545" spans="7:7" x14ac:dyDescent="0.3">
      <c r="G1545" s="98"/>
    </row>
    <row r="1546" spans="7:7" x14ac:dyDescent="0.3">
      <c r="G1546" s="98"/>
    </row>
    <row r="1547" spans="7:7" x14ac:dyDescent="0.3">
      <c r="G1547" s="98"/>
    </row>
    <row r="1548" spans="7:7" x14ac:dyDescent="0.3">
      <c r="G1548" s="98"/>
    </row>
    <row r="1549" spans="7:7" x14ac:dyDescent="0.3">
      <c r="G1549" s="98"/>
    </row>
    <row r="1550" spans="7:7" x14ac:dyDescent="0.3">
      <c r="G1550" s="98"/>
    </row>
    <row r="1551" spans="7:7" x14ac:dyDescent="0.3">
      <c r="G1551" s="98"/>
    </row>
    <row r="1552" spans="7:7" x14ac:dyDescent="0.3">
      <c r="G1552" s="98"/>
    </row>
    <row r="1553" spans="7:7" x14ac:dyDescent="0.3">
      <c r="G1553" s="98"/>
    </row>
    <row r="1554" spans="7:7" x14ac:dyDescent="0.3">
      <c r="G1554" s="98"/>
    </row>
    <row r="1555" spans="7:7" x14ac:dyDescent="0.3">
      <c r="G1555" s="98"/>
    </row>
    <row r="1556" spans="7:7" x14ac:dyDescent="0.3">
      <c r="G1556" s="98"/>
    </row>
    <row r="1557" spans="7:7" x14ac:dyDescent="0.3">
      <c r="G1557" s="98"/>
    </row>
    <row r="1558" spans="7:7" x14ac:dyDescent="0.3">
      <c r="G1558" s="98"/>
    </row>
    <row r="1559" spans="7:7" x14ac:dyDescent="0.3">
      <c r="G1559" s="98"/>
    </row>
    <row r="1560" spans="7:7" x14ac:dyDescent="0.3">
      <c r="G1560" s="98"/>
    </row>
    <row r="1561" spans="7:7" x14ac:dyDescent="0.3">
      <c r="G1561" s="98"/>
    </row>
    <row r="1562" spans="7:7" x14ac:dyDescent="0.3">
      <c r="G1562" s="98"/>
    </row>
    <row r="1563" spans="7:7" x14ac:dyDescent="0.3">
      <c r="G1563" s="98"/>
    </row>
    <row r="1564" spans="7:7" x14ac:dyDescent="0.3">
      <c r="G1564" s="98"/>
    </row>
    <row r="1565" spans="7:7" x14ac:dyDescent="0.3">
      <c r="G1565" s="98"/>
    </row>
    <row r="1566" spans="7:7" x14ac:dyDescent="0.3">
      <c r="G1566" s="98"/>
    </row>
    <row r="1567" spans="7:7" x14ac:dyDescent="0.3">
      <c r="G1567" s="98"/>
    </row>
    <row r="1568" spans="7:7" x14ac:dyDescent="0.3">
      <c r="G1568" s="98"/>
    </row>
    <row r="1569" spans="7:7" x14ac:dyDescent="0.3">
      <c r="G1569" s="98"/>
    </row>
    <row r="1570" spans="7:7" x14ac:dyDescent="0.3">
      <c r="G1570" s="98"/>
    </row>
    <row r="1571" spans="7:7" x14ac:dyDescent="0.3">
      <c r="G1571" s="98"/>
    </row>
    <row r="1572" spans="7:7" x14ac:dyDescent="0.3">
      <c r="G1572" s="98"/>
    </row>
    <row r="1573" spans="7:7" x14ac:dyDescent="0.3">
      <c r="G1573" s="98"/>
    </row>
    <row r="1574" spans="7:7" x14ac:dyDescent="0.3">
      <c r="G1574" s="98"/>
    </row>
    <row r="1575" spans="7:7" x14ac:dyDescent="0.3">
      <c r="G1575" s="98"/>
    </row>
    <row r="1576" spans="7:7" x14ac:dyDescent="0.3">
      <c r="G1576" s="98"/>
    </row>
    <row r="1577" spans="7:7" x14ac:dyDescent="0.3">
      <c r="G1577" s="98"/>
    </row>
    <row r="1578" spans="7:7" x14ac:dyDescent="0.3">
      <c r="G1578" s="98"/>
    </row>
    <row r="1579" spans="7:7" x14ac:dyDescent="0.3">
      <c r="G1579" s="98"/>
    </row>
    <row r="1580" spans="7:7" x14ac:dyDescent="0.3">
      <c r="G1580" s="98"/>
    </row>
    <row r="1581" spans="7:7" x14ac:dyDescent="0.3">
      <c r="G1581" s="98"/>
    </row>
    <row r="1582" spans="7:7" x14ac:dyDescent="0.3">
      <c r="G1582" s="98"/>
    </row>
    <row r="1583" spans="7:7" x14ac:dyDescent="0.3">
      <c r="G1583" s="98"/>
    </row>
    <row r="1584" spans="7:7" x14ac:dyDescent="0.3">
      <c r="G1584" s="98"/>
    </row>
    <row r="1585" spans="7:7" x14ac:dyDescent="0.3">
      <c r="G1585" s="98"/>
    </row>
    <row r="1586" spans="7:7" x14ac:dyDescent="0.3">
      <c r="G1586" s="98"/>
    </row>
    <row r="1587" spans="7:7" x14ac:dyDescent="0.3">
      <c r="G1587" s="98"/>
    </row>
    <row r="1588" spans="7:7" x14ac:dyDescent="0.3">
      <c r="G1588" s="98"/>
    </row>
    <row r="1589" spans="7:7" x14ac:dyDescent="0.3">
      <c r="G1589" s="98"/>
    </row>
    <row r="1590" spans="7:7" x14ac:dyDescent="0.3">
      <c r="G1590" s="98"/>
    </row>
    <row r="1591" spans="7:7" x14ac:dyDescent="0.3">
      <c r="G1591" s="98"/>
    </row>
    <row r="1592" spans="7:7" x14ac:dyDescent="0.3">
      <c r="G1592" s="98"/>
    </row>
    <row r="1593" spans="7:7" x14ac:dyDescent="0.3">
      <c r="G1593" s="98"/>
    </row>
    <row r="1594" spans="7:7" x14ac:dyDescent="0.3">
      <c r="G1594" s="98"/>
    </row>
    <row r="1595" spans="7:7" x14ac:dyDescent="0.3">
      <c r="G1595" s="98"/>
    </row>
    <row r="1596" spans="7:7" x14ac:dyDescent="0.3">
      <c r="G1596" s="98"/>
    </row>
    <row r="1597" spans="7:7" x14ac:dyDescent="0.3">
      <c r="G1597" s="98"/>
    </row>
    <row r="1598" spans="7:7" x14ac:dyDescent="0.3">
      <c r="G1598" s="98"/>
    </row>
    <row r="1599" spans="7:7" x14ac:dyDescent="0.3">
      <c r="G1599" s="98"/>
    </row>
    <row r="1600" spans="7:7" x14ac:dyDescent="0.3">
      <c r="G1600" s="98"/>
    </row>
    <row r="1601" spans="7:7" x14ac:dyDescent="0.3">
      <c r="G1601" s="98"/>
    </row>
    <row r="1602" spans="7:7" x14ac:dyDescent="0.3">
      <c r="G1602" s="98"/>
    </row>
    <row r="1603" spans="7:7" x14ac:dyDescent="0.3">
      <c r="G1603" s="98"/>
    </row>
    <row r="1604" spans="7:7" x14ac:dyDescent="0.3">
      <c r="G1604" s="98"/>
    </row>
    <row r="1605" spans="7:7" x14ac:dyDescent="0.3">
      <c r="G1605" s="98"/>
    </row>
    <row r="1606" spans="7:7" x14ac:dyDescent="0.3">
      <c r="G1606" s="98"/>
    </row>
    <row r="1607" spans="7:7" x14ac:dyDescent="0.3">
      <c r="G1607" s="98"/>
    </row>
    <row r="1608" spans="7:7" x14ac:dyDescent="0.3">
      <c r="G1608" s="98"/>
    </row>
    <row r="1609" spans="7:7" x14ac:dyDescent="0.3">
      <c r="G1609" s="98"/>
    </row>
    <row r="1610" spans="7:7" x14ac:dyDescent="0.3">
      <c r="G1610" s="98"/>
    </row>
    <row r="1611" spans="7:7" x14ac:dyDescent="0.3">
      <c r="G1611" s="98"/>
    </row>
    <row r="1612" spans="7:7" x14ac:dyDescent="0.3">
      <c r="G1612" s="98"/>
    </row>
    <row r="1613" spans="7:7" x14ac:dyDescent="0.3">
      <c r="G1613" s="98"/>
    </row>
    <row r="1614" spans="7:7" x14ac:dyDescent="0.3">
      <c r="G1614" s="98"/>
    </row>
    <row r="1615" spans="7:7" x14ac:dyDescent="0.3">
      <c r="G1615" s="98"/>
    </row>
    <row r="1616" spans="7:7" x14ac:dyDescent="0.3">
      <c r="G1616" s="98"/>
    </row>
    <row r="1617" spans="7:7" x14ac:dyDescent="0.3">
      <c r="G1617" s="98"/>
    </row>
    <row r="1618" spans="7:7" x14ac:dyDescent="0.3">
      <c r="G1618" s="98"/>
    </row>
    <row r="1619" spans="7:7" x14ac:dyDescent="0.3">
      <c r="G1619" s="98"/>
    </row>
    <row r="1620" spans="7:7" x14ac:dyDescent="0.3">
      <c r="G1620" s="98"/>
    </row>
    <row r="1621" spans="7:7" x14ac:dyDescent="0.3">
      <c r="G1621" s="98"/>
    </row>
    <row r="1622" spans="7:7" x14ac:dyDescent="0.3">
      <c r="G1622" s="98"/>
    </row>
    <row r="1623" spans="7:7" x14ac:dyDescent="0.3">
      <c r="G1623" s="98"/>
    </row>
    <row r="1624" spans="7:7" x14ac:dyDescent="0.3">
      <c r="G1624" s="98"/>
    </row>
    <row r="1625" spans="7:7" x14ac:dyDescent="0.3">
      <c r="G1625" s="98"/>
    </row>
    <row r="1626" spans="7:7" x14ac:dyDescent="0.3">
      <c r="G1626" s="98"/>
    </row>
    <row r="1627" spans="7:7" x14ac:dyDescent="0.3">
      <c r="G1627" s="98"/>
    </row>
    <row r="1628" spans="7:7" x14ac:dyDescent="0.3">
      <c r="G1628" s="98"/>
    </row>
    <row r="1629" spans="7:7" x14ac:dyDescent="0.3">
      <c r="G1629" s="98"/>
    </row>
    <row r="1630" spans="7:7" x14ac:dyDescent="0.3">
      <c r="G1630" s="98"/>
    </row>
    <row r="1631" spans="7:7" x14ac:dyDescent="0.3">
      <c r="G1631" s="98"/>
    </row>
    <row r="1632" spans="7:7" x14ac:dyDescent="0.3">
      <c r="G1632" s="98"/>
    </row>
    <row r="1633" spans="7:7" x14ac:dyDescent="0.3">
      <c r="G1633" s="98"/>
    </row>
    <row r="1634" spans="7:7" x14ac:dyDescent="0.3">
      <c r="G1634" s="98"/>
    </row>
    <row r="1635" spans="7:7" x14ac:dyDescent="0.3">
      <c r="G1635" s="98"/>
    </row>
    <row r="1636" spans="7:7" x14ac:dyDescent="0.3">
      <c r="G1636" s="98"/>
    </row>
    <row r="1637" spans="7:7" x14ac:dyDescent="0.3">
      <c r="G1637" s="98"/>
    </row>
    <row r="1638" spans="7:7" x14ac:dyDescent="0.3">
      <c r="G1638" s="98"/>
    </row>
    <row r="1639" spans="7:7" x14ac:dyDescent="0.3">
      <c r="G1639" s="98"/>
    </row>
    <row r="1640" spans="7:7" x14ac:dyDescent="0.3">
      <c r="G1640" s="98"/>
    </row>
    <row r="1641" spans="7:7" x14ac:dyDescent="0.3">
      <c r="G1641" s="98"/>
    </row>
    <row r="1642" spans="7:7" x14ac:dyDescent="0.3">
      <c r="G1642" s="98"/>
    </row>
    <row r="1643" spans="7:7" x14ac:dyDescent="0.3">
      <c r="G1643" s="98"/>
    </row>
    <row r="1644" spans="7:7" x14ac:dyDescent="0.3">
      <c r="G1644" s="98"/>
    </row>
    <row r="1645" spans="7:7" x14ac:dyDescent="0.3">
      <c r="G1645" s="98"/>
    </row>
    <row r="1646" spans="7:7" x14ac:dyDescent="0.3">
      <c r="G1646" s="98"/>
    </row>
    <row r="1647" spans="7:7" x14ac:dyDescent="0.3">
      <c r="G1647" s="98"/>
    </row>
    <row r="1648" spans="7:7" x14ac:dyDescent="0.3">
      <c r="G1648" s="98"/>
    </row>
    <row r="1649" spans="7:7" x14ac:dyDescent="0.3">
      <c r="G1649" s="98"/>
    </row>
    <row r="1650" spans="7:7" x14ac:dyDescent="0.3">
      <c r="G1650" s="98"/>
    </row>
    <row r="1651" spans="7:7" x14ac:dyDescent="0.3">
      <c r="G1651" s="98"/>
    </row>
    <row r="1652" spans="7:7" x14ac:dyDescent="0.3">
      <c r="G1652" s="98"/>
    </row>
    <row r="1653" spans="7:7" x14ac:dyDescent="0.3">
      <c r="G1653" s="98"/>
    </row>
    <row r="1654" spans="7:7" x14ac:dyDescent="0.3">
      <c r="G1654" s="98"/>
    </row>
    <row r="1655" spans="7:7" x14ac:dyDescent="0.3">
      <c r="G1655" s="98"/>
    </row>
    <row r="1656" spans="7:7" x14ac:dyDescent="0.3">
      <c r="G1656" s="98"/>
    </row>
    <row r="1657" spans="7:7" x14ac:dyDescent="0.3">
      <c r="G1657" s="98"/>
    </row>
    <row r="1658" spans="7:7" x14ac:dyDescent="0.3">
      <c r="G1658" s="98"/>
    </row>
    <row r="1659" spans="7:7" x14ac:dyDescent="0.3">
      <c r="G1659" s="98"/>
    </row>
    <row r="1660" spans="7:7" x14ac:dyDescent="0.3">
      <c r="G1660" s="98"/>
    </row>
    <row r="1661" spans="7:7" x14ac:dyDescent="0.3">
      <c r="G1661" s="98"/>
    </row>
    <row r="1662" spans="7:7" x14ac:dyDescent="0.3">
      <c r="G1662" s="98"/>
    </row>
    <row r="1663" spans="7:7" x14ac:dyDescent="0.3">
      <c r="G1663" s="98"/>
    </row>
    <row r="1664" spans="7:7" x14ac:dyDescent="0.3">
      <c r="G1664" s="98"/>
    </row>
    <row r="1665" spans="7:7" x14ac:dyDescent="0.3">
      <c r="G1665" s="98"/>
    </row>
    <row r="1666" spans="7:7" x14ac:dyDescent="0.3">
      <c r="G1666" s="98"/>
    </row>
    <row r="1667" spans="7:7" x14ac:dyDescent="0.3">
      <c r="G1667" s="98"/>
    </row>
    <row r="1668" spans="7:7" x14ac:dyDescent="0.3">
      <c r="G1668" s="98"/>
    </row>
    <row r="1669" spans="7:7" x14ac:dyDescent="0.3">
      <c r="G1669" s="98"/>
    </row>
    <row r="1670" spans="7:7" x14ac:dyDescent="0.3">
      <c r="G1670" s="98"/>
    </row>
    <row r="1671" spans="7:7" x14ac:dyDescent="0.3">
      <c r="G1671" s="98"/>
    </row>
    <row r="1672" spans="7:7" x14ac:dyDescent="0.3">
      <c r="G1672" s="98"/>
    </row>
    <row r="1673" spans="7:7" x14ac:dyDescent="0.3">
      <c r="G1673" s="98"/>
    </row>
    <row r="1674" spans="7:7" x14ac:dyDescent="0.3">
      <c r="G1674" s="98"/>
    </row>
    <row r="1675" spans="7:7" x14ac:dyDescent="0.3">
      <c r="G1675" s="98"/>
    </row>
    <row r="1676" spans="7:7" x14ac:dyDescent="0.3">
      <c r="G1676" s="98"/>
    </row>
    <row r="1677" spans="7:7" x14ac:dyDescent="0.3">
      <c r="G1677" s="98"/>
    </row>
    <row r="1678" spans="7:7" x14ac:dyDescent="0.3">
      <c r="G1678" s="98"/>
    </row>
    <row r="1679" spans="7:7" x14ac:dyDescent="0.3">
      <c r="G1679" s="98"/>
    </row>
    <row r="1680" spans="7:7" x14ac:dyDescent="0.3">
      <c r="G1680" s="98"/>
    </row>
    <row r="1681" spans="7:7" x14ac:dyDescent="0.3">
      <c r="G1681" s="98"/>
    </row>
    <row r="1682" spans="7:7" x14ac:dyDescent="0.3">
      <c r="G1682" s="98"/>
    </row>
    <row r="1683" spans="7:7" x14ac:dyDescent="0.3">
      <c r="G1683" s="98"/>
    </row>
    <row r="1684" spans="7:7" x14ac:dyDescent="0.3">
      <c r="G1684" s="98"/>
    </row>
    <row r="1685" spans="7:7" x14ac:dyDescent="0.3">
      <c r="G1685" s="98"/>
    </row>
    <row r="1686" spans="7:7" x14ac:dyDescent="0.3">
      <c r="G1686" s="98"/>
    </row>
    <row r="1687" spans="7:7" x14ac:dyDescent="0.3">
      <c r="G1687" s="98"/>
    </row>
    <row r="1688" spans="7:7" x14ac:dyDescent="0.3">
      <c r="G1688" s="98"/>
    </row>
    <row r="1689" spans="7:7" x14ac:dyDescent="0.3">
      <c r="G1689" s="98"/>
    </row>
    <row r="1690" spans="7:7" x14ac:dyDescent="0.3">
      <c r="G1690" s="98"/>
    </row>
    <row r="1691" spans="7:7" x14ac:dyDescent="0.3">
      <c r="G1691" s="98"/>
    </row>
    <row r="1692" spans="7:7" x14ac:dyDescent="0.3">
      <c r="G1692" s="98"/>
    </row>
    <row r="1693" spans="7:7" x14ac:dyDescent="0.3">
      <c r="G1693" s="98"/>
    </row>
    <row r="1694" spans="7:7" x14ac:dyDescent="0.3">
      <c r="G1694" s="98"/>
    </row>
    <row r="1695" spans="7:7" x14ac:dyDescent="0.3">
      <c r="G1695" s="98"/>
    </row>
    <row r="1696" spans="7:7" x14ac:dyDescent="0.3">
      <c r="G1696" s="98"/>
    </row>
    <row r="1697" spans="7:7" x14ac:dyDescent="0.3">
      <c r="G1697" s="98"/>
    </row>
    <row r="1698" spans="7:7" x14ac:dyDescent="0.3">
      <c r="G1698" s="98"/>
    </row>
    <row r="1699" spans="7:7" x14ac:dyDescent="0.3">
      <c r="G1699" s="98"/>
    </row>
    <row r="1700" spans="7:7" x14ac:dyDescent="0.3">
      <c r="G1700" s="98"/>
    </row>
    <row r="1701" spans="7:7" x14ac:dyDescent="0.3">
      <c r="G1701" s="98"/>
    </row>
    <row r="1702" spans="7:7" x14ac:dyDescent="0.3">
      <c r="G1702" s="98"/>
    </row>
    <row r="1703" spans="7:7" x14ac:dyDescent="0.3">
      <c r="G1703" s="98"/>
    </row>
    <row r="1704" spans="7:7" x14ac:dyDescent="0.3">
      <c r="G1704" s="98"/>
    </row>
    <row r="1705" spans="7:7" x14ac:dyDescent="0.3">
      <c r="G1705" s="98"/>
    </row>
    <row r="1706" spans="7:7" x14ac:dyDescent="0.3">
      <c r="G1706" s="98"/>
    </row>
    <row r="1707" spans="7:7" x14ac:dyDescent="0.3">
      <c r="G1707" s="98"/>
    </row>
    <row r="1708" spans="7:7" x14ac:dyDescent="0.3">
      <c r="G1708" s="98"/>
    </row>
    <row r="1709" spans="7:7" x14ac:dyDescent="0.3">
      <c r="G1709" s="98"/>
    </row>
    <row r="1710" spans="7:7" x14ac:dyDescent="0.3">
      <c r="G1710" s="98"/>
    </row>
    <row r="1711" spans="7:7" x14ac:dyDescent="0.3">
      <c r="G1711" s="98"/>
    </row>
    <row r="1712" spans="7:7" x14ac:dyDescent="0.3">
      <c r="G1712" s="98"/>
    </row>
    <row r="1713" spans="7:7" x14ac:dyDescent="0.3">
      <c r="G1713" s="98"/>
    </row>
    <row r="1714" spans="7:7" x14ac:dyDescent="0.3">
      <c r="G1714" s="98"/>
    </row>
    <row r="1715" spans="7:7" x14ac:dyDescent="0.3">
      <c r="G1715" s="98"/>
    </row>
    <row r="1716" spans="7:7" x14ac:dyDescent="0.3">
      <c r="G1716" s="98"/>
    </row>
    <row r="1717" spans="7:7" x14ac:dyDescent="0.3">
      <c r="G1717" s="98"/>
    </row>
    <row r="1718" spans="7:7" x14ac:dyDescent="0.3">
      <c r="G1718" s="98"/>
    </row>
    <row r="1719" spans="7:7" x14ac:dyDescent="0.3">
      <c r="G1719" s="98"/>
    </row>
    <row r="1720" spans="7:7" x14ac:dyDescent="0.3">
      <c r="G1720" s="98"/>
    </row>
    <row r="1721" spans="7:7" x14ac:dyDescent="0.3">
      <c r="G1721" s="98"/>
    </row>
    <row r="1722" spans="7:7" x14ac:dyDescent="0.3">
      <c r="G1722" s="98"/>
    </row>
    <row r="1723" spans="7:7" x14ac:dyDescent="0.3">
      <c r="G1723" s="98"/>
    </row>
    <row r="1724" spans="7:7" x14ac:dyDescent="0.3">
      <c r="G1724" s="98"/>
    </row>
    <row r="1725" spans="7:7" x14ac:dyDescent="0.3">
      <c r="G1725" s="98"/>
    </row>
    <row r="1726" spans="7:7" x14ac:dyDescent="0.3">
      <c r="G1726" s="98"/>
    </row>
    <row r="1727" spans="7:7" x14ac:dyDescent="0.3">
      <c r="G1727" s="98"/>
    </row>
    <row r="1728" spans="7:7" x14ac:dyDescent="0.3">
      <c r="G1728" s="98"/>
    </row>
    <row r="1729" spans="7:7" x14ac:dyDescent="0.3">
      <c r="G1729" s="98"/>
    </row>
    <row r="1730" spans="7:7" x14ac:dyDescent="0.3">
      <c r="G1730" s="98"/>
    </row>
    <row r="1731" spans="7:7" x14ac:dyDescent="0.3">
      <c r="G1731" s="98"/>
    </row>
    <row r="1732" spans="7:7" x14ac:dyDescent="0.3">
      <c r="G1732" s="98"/>
    </row>
    <row r="1733" spans="7:7" x14ac:dyDescent="0.3">
      <c r="G1733" s="98"/>
    </row>
    <row r="1734" spans="7:7" x14ac:dyDescent="0.3">
      <c r="G1734" s="98"/>
    </row>
    <row r="1735" spans="7:7" x14ac:dyDescent="0.3">
      <c r="G1735" s="98"/>
    </row>
    <row r="1736" spans="7:7" x14ac:dyDescent="0.3">
      <c r="G1736" s="98"/>
    </row>
    <row r="1737" spans="7:7" x14ac:dyDescent="0.3">
      <c r="G1737" s="98"/>
    </row>
    <row r="1738" spans="7:7" x14ac:dyDescent="0.3">
      <c r="G1738" s="98"/>
    </row>
    <row r="1739" spans="7:7" x14ac:dyDescent="0.3">
      <c r="G1739" s="98"/>
    </row>
    <row r="1740" spans="7:7" x14ac:dyDescent="0.3">
      <c r="G1740" s="98"/>
    </row>
    <row r="1741" spans="7:7" x14ac:dyDescent="0.3">
      <c r="G1741" s="98"/>
    </row>
    <row r="1742" spans="7:7" x14ac:dyDescent="0.3">
      <c r="G1742" s="98"/>
    </row>
    <row r="1743" spans="7:7" x14ac:dyDescent="0.3">
      <c r="G1743" s="98"/>
    </row>
    <row r="1744" spans="7:7" x14ac:dyDescent="0.3">
      <c r="G1744" s="98"/>
    </row>
    <row r="1745" spans="7:7" x14ac:dyDescent="0.3">
      <c r="G1745" s="98"/>
    </row>
    <row r="1746" spans="7:7" x14ac:dyDescent="0.3">
      <c r="G1746" s="98"/>
    </row>
    <row r="1747" spans="7:7" x14ac:dyDescent="0.3">
      <c r="G1747" s="98"/>
    </row>
    <row r="1748" spans="7:7" x14ac:dyDescent="0.3">
      <c r="G1748" s="98"/>
    </row>
    <row r="1749" spans="7:7" x14ac:dyDescent="0.3">
      <c r="G1749" s="98"/>
    </row>
    <row r="1750" spans="7:7" x14ac:dyDescent="0.3">
      <c r="G1750" s="98"/>
    </row>
    <row r="1751" spans="7:7" x14ac:dyDescent="0.3">
      <c r="G1751" s="98"/>
    </row>
    <row r="1752" spans="7:7" x14ac:dyDescent="0.3">
      <c r="G1752" s="98"/>
    </row>
    <row r="1753" spans="7:7" x14ac:dyDescent="0.3">
      <c r="G1753" s="98"/>
    </row>
    <row r="1754" spans="7:7" x14ac:dyDescent="0.3">
      <c r="G1754" s="98"/>
    </row>
    <row r="1755" spans="7:7" x14ac:dyDescent="0.3">
      <c r="G1755" s="98"/>
    </row>
    <row r="1756" spans="7:7" x14ac:dyDescent="0.3">
      <c r="G1756" s="98"/>
    </row>
    <row r="1757" spans="7:7" x14ac:dyDescent="0.3">
      <c r="G1757" s="98"/>
    </row>
    <row r="1758" spans="7:7" x14ac:dyDescent="0.3">
      <c r="G1758" s="98"/>
    </row>
    <row r="1759" spans="7:7" x14ac:dyDescent="0.3">
      <c r="G1759" s="98"/>
    </row>
    <row r="1760" spans="7:7" x14ac:dyDescent="0.3">
      <c r="G1760" s="98"/>
    </row>
    <row r="1761" spans="7:7" x14ac:dyDescent="0.3">
      <c r="G1761" s="98"/>
    </row>
    <row r="1762" spans="7:7" x14ac:dyDescent="0.3">
      <c r="G1762" s="98"/>
    </row>
    <row r="1763" spans="7:7" x14ac:dyDescent="0.3">
      <c r="G1763" s="98"/>
    </row>
    <row r="1764" spans="7:7" x14ac:dyDescent="0.3">
      <c r="G1764" s="98"/>
    </row>
    <row r="1765" spans="7:7" x14ac:dyDescent="0.3">
      <c r="G1765" s="98"/>
    </row>
    <row r="1766" spans="7:7" x14ac:dyDescent="0.3">
      <c r="G1766" s="98"/>
    </row>
    <row r="1767" spans="7:7" x14ac:dyDescent="0.3">
      <c r="G1767" s="98"/>
    </row>
    <row r="1768" spans="7:7" x14ac:dyDescent="0.3">
      <c r="G1768" s="98"/>
    </row>
    <row r="1769" spans="7:7" x14ac:dyDescent="0.3">
      <c r="G1769" s="98"/>
    </row>
    <row r="1770" spans="7:7" x14ac:dyDescent="0.3">
      <c r="G1770" s="98"/>
    </row>
    <row r="1771" spans="7:7" x14ac:dyDescent="0.3">
      <c r="G1771" s="98"/>
    </row>
    <row r="1772" spans="7:7" x14ac:dyDescent="0.3">
      <c r="G1772" s="98"/>
    </row>
    <row r="1773" spans="7:7" x14ac:dyDescent="0.3">
      <c r="G1773" s="98"/>
    </row>
    <row r="1774" spans="7:7" x14ac:dyDescent="0.3">
      <c r="G1774" s="98"/>
    </row>
    <row r="1775" spans="7:7" x14ac:dyDescent="0.3">
      <c r="G1775" s="98"/>
    </row>
    <row r="1776" spans="7:7" x14ac:dyDescent="0.3">
      <c r="G1776" s="98"/>
    </row>
    <row r="1777" spans="7:7" x14ac:dyDescent="0.3">
      <c r="G1777" s="98"/>
    </row>
    <row r="1778" spans="7:7" x14ac:dyDescent="0.3">
      <c r="G1778" s="98"/>
    </row>
    <row r="1779" spans="7:7" x14ac:dyDescent="0.3">
      <c r="G1779" s="98"/>
    </row>
    <row r="1780" spans="7:7" x14ac:dyDescent="0.3">
      <c r="G1780" s="98"/>
    </row>
    <row r="1781" spans="7:7" x14ac:dyDescent="0.3">
      <c r="G1781" s="98"/>
    </row>
    <row r="1782" spans="7:7" x14ac:dyDescent="0.3">
      <c r="G1782" s="98"/>
    </row>
    <row r="1783" spans="7:7" x14ac:dyDescent="0.3">
      <c r="G1783" s="98"/>
    </row>
    <row r="1784" spans="7:7" x14ac:dyDescent="0.3">
      <c r="G1784" s="98"/>
    </row>
    <row r="1785" spans="7:7" x14ac:dyDescent="0.3">
      <c r="G1785" s="98"/>
    </row>
    <row r="1786" spans="7:7" x14ac:dyDescent="0.3">
      <c r="G1786" s="98"/>
    </row>
    <row r="1787" spans="7:7" x14ac:dyDescent="0.3">
      <c r="G1787" s="98"/>
    </row>
    <row r="1788" spans="7:7" x14ac:dyDescent="0.3">
      <c r="G1788" s="98"/>
    </row>
    <row r="1789" spans="7:7" x14ac:dyDescent="0.3">
      <c r="G1789" s="98"/>
    </row>
    <row r="1790" spans="7:7" x14ac:dyDescent="0.3">
      <c r="G1790" s="98"/>
    </row>
    <row r="1791" spans="7:7" x14ac:dyDescent="0.3">
      <c r="G1791" s="98"/>
    </row>
    <row r="1792" spans="7:7" x14ac:dyDescent="0.3">
      <c r="G1792" s="98"/>
    </row>
    <row r="1793" spans="7:7" x14ac:dyDescent="0.3">
      <c r="G1793" s="98"/>
    </row>
    <row r="1794" spans="7:7" x14ac:dyDescent="0.3">
      <c r="G1794" s="98"/>
    </row>
    <row r="1795" spans="7:7" x14ac:dyDescent="0.3">
      <c r="G1795" s="98"/>
    </row>
    <row r="1796" spans="7:7" x14ac:dyDescent="0.3">
      <c r="G1796" s="98"/>
    </row>
    <row r="1797" spans="7:7" x14ac:dyDescent="0.3">
      <c r="G1797" s="98"/>
    </row>
    <row r="1798" spans="7:7" x14ac:dyDescent="0.3">
      <c r="G1798" s="98"/>
    </row>
    <row r="1799" spans="7:7" x14ac:dyDescent="0.3">
      <c r="G1799" s="98"/>
    </row>
    <row r="1800" spans="7:7" x14ac:dyDescent="0.3">
      <c r="G1800" s="98"/>
    </row>
    <row r="1801" spans="7:7" x14ac:dyDescent="0.3">
      <c r="G1801" s="98"/>
    </row>
    <row r="1802" spans="7:7" x14ac:dyDescent="0.3">
      <c r="G1802" s="98"/>
    </row>
    <row r="1803" spans="7:7" x14ac:dyDescent="0.3">
      <c r="G1803" s="98"/>
    </row>
    <row r="1804" spans="7:7" x14ac:dyDescent="0.3">
      <c r="G1804" s="98"/>
    </row>
    <row r="1805" spans="7:7" x14ac:dyDescent="0.3">
      <c r="G1805" s="98"/>
    </row>
    <row r="1806" spans="7:7" x14ac:dyDescent="0.3">
      <c r="G1806" s="98"/>
    </row>
    <row r="1807" spans="7:7" x14ac:dyDescent="0.3">
      <c r="G1807" s="98"/>
    </row>
    <row r="1808" spans="7:7" x14ac:dyDescent="0.3">
      <c r="G1808" s="98"/>
    </row>
    <row r="1809" spans="7:7" x14ac:dyDescent="0.3">
      <c r="G1809" s="98"/>
    </row>
    <row r="1810" spans="7:7" x14ac:dyDescent="0.3">
      <c r="G1810" s="98"/>
    </row>
    <row r="1811" spans="7:7" x14ac:dyDescent="0.3">
      <c r="G1811" s="98"/>
    </row>
    <row r="1812" spans="7:7" x14ac:dyDescent="0.3">
      <c r="G1812" s="98"/>
    </row>
    <row r="1813" spans="7:7" x14ac:dyDescent="0.3">
      <c r="G1813" s="98"/>
    </row>
    <row r="1814" spans="7:7" x14ac:dyDescent="0.3">
      <c r="G1814" s="98"/>
    </row>
    <row r="1815" spans="7:7" x14ac:dyDescent="0.3">
      <c r="G1815" s="98"/>
    </row>
    <row r="1816" spans="7:7" x14ac:dyDescent="0.3">
      <c r="G1816" s="98"/>
    </row>
    <row r="1817" spans="7:7" x14ac:dyDescent="0.3">
      <c r="G1817" s="98"/>
    </row>
    <row r="1818" spans="7:7" x14ac:dyDescent="0.3">
      <c r="G1818" s="98"/>
    </row>
    <row r="1819" spans="7:7" x14ac:dyDescent="0.3">
      <c r="G1819" s="98"/>
    </row>
    <row r="1820" spans="7:7" x14ac:dyDescent="0.3">
      <c r="G1820" s="98"/>
    </row>
    <row r="1821" spans="7:7" x14ac:dyDescent="0.3">
      <c r="G1821" s="98"/>
    </row>
    <row r="1822" spans="7:7" x14ac:dyDescent="0.3">
      <c r="G1822" s="98"/>
    </row>
    <row r="1823" spans="7:7" x14ac:dyDescent="0.3">
      <c r="G1823" s="98"/>
    </row>
    <row r="1824" spans="7:7" x14ac:dyDescent="0.3">
      <c r="G1824" s="98"/>
    </row>
    <row r="1825" spans="7:7" x14ac:dyDescent="0.3">
      <c r="G1825" s="98"/>
    </row>
    <row r="1826" spans="7:7" x14ac:dyDescent="0.3">
      <c r="G1826" s="98"/>
    </row>
    <row r="1827" spans="7:7" x14ac:dyDescent="0.3">
      <c r="G1827" s="98"/>
    </row>
    <row r="1828" spans="7:7" x14ac:dyDescent="0.3">
      <c r="G1828" s="98"/>
    </row>
    <row r="1829" spans="7:7" x14ac:dyDescent="0.3">
      <c r="G1829" s="98"/>
    </row>
    <row r="1830" spans="7:7" x14ac:dyDescent="0.3">
      <c r="G1830" s="98"/>
    </row>
    <row r="1831" spans="7:7" x14ac:dyDescent="0.3">
      <c r="G1831" s="98"/>
    </row>
    <row r="1832" spans="7:7" x14ac:dyDescent="0.3">
      <c r="G1832" s="98"/>
    </row>
    <row r="1833" spans="7:7" x14ac:dyDescent="0.3">
      <c r="G1833" s="98"/>
    </row>
    <row r="1834" spans="7:7" x14ac:dyDescent="0.3">
      <c r="G1834" s="98"/>
    </row>
    <row r="1835" spans="7:7" x14ac:dyDescent="0.3">
      <c r="G1835" s="98"/>
    </row>
    <row r="1836" spans="7:7" x14ac:dyDescent="0.3">
      <c r="G1836" s="98"/>
    </row>
    <row r="1837" spans="7:7" x14ac:dyDescent="0.3">
      <c r="G1837" s="98"/>
    </row>
    <row r="1838" spans="7:7" x14ac:dyDescent="0.3">
      <c r="G1838" s="98"/>
    </row>
    <row r="1839" spans="7:7" x14ac:dyDescent="0.3">
      <c r="G1839" s="98"/>
    </row>
    <row r="1840" spans="7:7" x14ac:dyDescent="0.3">
      <c r="G1840" s="98"/>
    </row>
    <row r="1841" spans="7:7" x14ac:dyDescent="0.3">
      <c r="G1841" s="98"/>
    </row>
    <row r="1842" spans="7:7" x14ac:dyDescent="0.3">
      <c r="G1842" s="98"/>
    </row>
    <row r="1843" spans="7:7" x14ac:dyDescent="0.3">
      <c r="G1843" s="98"/>
    </row>
    <row r="1844" spans="7:7" x14ac:dyDescent="0.3">
      <c r="G1844" s="98"/>
    </row>
    <row r="1845" spans="7:7" x14ac:dyDescent="0.3">
      <c r="G1845" s="98"/>
    </row>
    <row r="1846" spans="7:7" x14ac:dyDescent="0.3">
      <c r="G1846" s="98"/>
    </row>
    <row r="1847" spans="7:7" x14ac:dyDescent="0.3">
      <c r="G1847" s="98"/>
    </row>
    <row r="1848" spans="7:7" x14ac:dyDescent="0.3">
      <c r="G1848" s="98"/>
    </row>
    <row r="1849" spans="7:7" x14ac:dyDescent="0.3">
      <c r="G1849" s="98"/>
    </row>
    <row r="1850" spans="7:7" x14ac:dyDescent="0.3">
      <c r="G1850" s="98"/>
    </row>
    <row r="1851" spans="7:7" x14ac:dyDescent="0.3">
      <c r="G1851" s="98"/>
    </row>
    <row r="1852" spans="7:7" x14ac:dyDescent="0.3">
      <c r="G1852" s="98"/>
    </row>
    <row r="1853" spans="7:7" x14ac:dyDescent="0.3">
      <c r="G1853" s="98"/>
    </row>
    <row r="1854" spans="7:7" x14ac:dyDescent="0.3">
      <c r="G1854" s="98"/>
    </row>
    <row r="1855" spans="7:7" x14ac:dyDescent="0.3">
      <c r="G1855" s="98"/>
    </row>
    <row r="1856" spans="7:7" x14ac:dyDescent="0.3">
      <c r="G1856" s="98"/>
    </row>
    <row r="1857" spans="7:7" x14ac:dyDescent="0.3">
      <c r="G1857" s="98"/>
    </row>
    <row r="1858" spans="7:7" x14ac:dyDescent="0.3">
      <c r="G1858" s="98"/>
    </row>
    <row r="1859" spans="7:7" x14ac:dyDescent="0.3">
      <c r="G1859" s="98"/>
    </row>
    <row r="1860" spans="7:7" x14ac:dyDescent="0.3">
      <c r="G1860" s="98"/>
    </row>
    <row r="1861" spans="7:7" x14ac:dyDescent="0.3">
      <c r="G1861" s="98"/>
    </row>
    <row r="1862" spans="7:7" x14ac:dyDescent="0.3">
      <c r="G1862" s="98"/>
    </row>
    <row r="1863" spans="7:7" x14ac:dyDescent="0.3">
      <c r="G1863" s="98"/>
    </row>
    <row r="1864" spans="7:7" x14ac:dyDescent="0.3">
      <c r="G1864" s="98"/>
    </row>
    <row r="1865" spans="7:7" x14ac:dyDescent="0.3">
      <c r="G1865" s="98"/>
    </row>
    <row r="1866" spans="7:7" x14ac:dyDescent="0.3">
      <c r="G1866" s="98"/>
    </row>
    <row r="1867" spans="7:7" x14ac:dyDescent="0.3">
      <c r="G1867" s="98"/>
    </row>
    <row r="1868" spans="7:7" x14ac:dyDescent="0.3">
      <c r="G1868" s="98"/>
    </row>
    <row r="1869" spans="7:7" x14ac:dyDescent="0.3">
      <c r="G1869" s="98"/>
    </row>
    <row r="1870" spans="7:7" x14ac:dyDescent="0.3">
      <c r="G1870" s="98"/>
    </row>
    <row r="1871" spans="7:7" x14ac:dyDescent="0.3">
      <c r="G1871" s="98"/>
    </row>
    <row r="1872" spans="7:7" x14ac:dyDescent="0.3">
      <c r="G1872" s="98"/>
    </row>
    <row r="1873" spans="7:7" x14ac:dyDescent="0.3">
      <c r="G1873" s="98"/>
    </row>
    <row r="1874" spans="7:7" x14ac:dyDescent="0.3">
      <c r="G1874" s="98"/>
    </row>
    <row r="1875" spans="7:7" x14ac:dyDescent="0.3">
      <c r="G1875" s="98"/>
    </row>
    <row r="1876" spans="7:7" x14ac:dyDescent="0.3">
      <c r="G1876" s="98"/>
    </row>
    <row r="1877" spans="7:7" x14ac:dyDescent="0.3">
      <c r="G1877" s="98"/>
    </row>
    <row r="1878" spans="7:7" x14ac:dyDescent="0.3">
      <c r="G1878" s="98"/>
    </row>
    <row r="1879" spans="7:7" x14ac:dyDescent="0.3">
      <c r="G1879" s="98"/>
    </row>
    <row r="1880" spans="7:7" x14ac:dyDescent="0.3">
      <c r="G1880" s="98"/>
    </row>
    <row r="1881" spans="7:7" x14ac:dyDescent="0.3">
      <c r="G1881" s="98"/>
    </row>
    <row r="1882" spans="7:7" x14ac:dyDescent="0.3">
      <c r="G1882" s="98"/>
    </row>
    <row r="1883" spans="7:7" x14ac:dyDescent="0.3">
      <c r="G1883" s="98"/>
    </row>
    <row r="1884" spans="7:7" x14ac:dyDescent="0.3">
      <c r="G1884" s="98"/>
    </row>
    <row r="1885" spans="7:7" x14ac:dyDescent="0.3">
      <c r="G1885" s="98"/>
    </row>
    <row r="1886" spans="7:7" x14ac:dyDescent="0.3">
      <c r="G1886" s="98"/>
    </row>
    <row r="1887" spans="7:7" x14ac:dyDescent="0.3">
      <c r="G1887" s="98"/>
    </row>
    <row r="1888" spans="7:7" x14ac:dyDescent="0.3">
      <c r="G1888" s="98"/>
    </row>
    <row r="1889" spans="7:7" x14ac:dyDescent="0.3">
      <c r="G1889" s="98"/>
    </row>
    <row r="1890" spans="7:7" x14ac:dyDescent="0.3">
      <c r="G1890" s="98"/>
    </row>
    <row r="1891" spans="7:7" x14ac:dyDescent="0.3">
      <c r="G1891" s="98"/>
    </row>
    <row r="1892" spans="7:7" x14ac:dyDescent="0.3">
      <c r="G1892" s="98"/>
    </row>
    <row r="1893" spans="7:7" x14ac:dyDescent="0.3">
      <c r="G1893" s="98"/>
    </row>
    <row r="1894" spans="7:7" x14ac:dyDescent="0.3">
      <c r="G1894" s="98"/>
    </row>
    <row r="1895" spans="7:7" x14ac:dyDescent="0.3">
      <c r="G1895" s="98"/>
    </row>
    <row r="1896" spans="7:7" x14ac:dyDescent="0.3">
      <c r="G1896" s="98"/>
    </row>
    <row r="1897" spans="7:7" x14ac:dyDescent="0.3">
      <c r="G1897" s="98"/>
    </row>
    <row r="1898" spans="7:7" x14ac:dyDescent="0.3">
      <c r="G1898" s="98"/>
    </row>
    <row r="1899" spans="7:7" x14ac:dyDescent="0.3">
      <c r="G1899" s="98"/>
    </row>
    <row r="1900" spans="7:7" x14ac:dyDescent="0.3">
      <c r="G1900" s="98"/>
    </row>
    <row r="1901" spans="7:7" x14ac:dyDescent="0.3">
      <c r="G1901" s="98"/>
    </row>
    <row r="1902" spans="7:7" x14ac:dyDescent="0.3">
      <c r="G1902" s="98"/>
    </row>
    <row r="1903" spans="7:7" x14ac:dyDescent="0.3">
      <c r="G1903" s="98"/>
    </row>
    <row r="1904" spans="7:7" x14ac:dyDescent="0.3">
      <c r="G1904" s="98"/>
    </row>
    <row r="1905" spans="7:7" x14ac:dyDescent="0.3">
      <c r="G1905" s="98"/>
    </row>
    <row r="1906" spans="7:7" x14ac:dyDescent="0.3">
      <c r="G1906" s="98"/>
    </row>
    <row r="1907" spans="7:7" x14ac:dyDescent="0.3">
      <c r="G1907" s="98"/>
    </row>
    <row r="1908" spans="7:7" x14ac:dyDescent="0.3">
      <c r="G1908" s="98"/>
    </row>
    <row r="1909" spans="7:7" x14ac:dyDescent="0.3">
      <c r="G1909" s="98"/>
    </row>
    <row r="1910" spans="7:7" x14ac:dyDescent="0.3">
      <c r="G1910" s="98"/>
    </row>
    <row r="1911" spans="7:7" x14ac:dyDescent="0.3">
      <c r="G1911" s="98"/>
    </row>
    <row r="1912" spans="7:7" x14ac:dyDescent="0.3">
      <c r="G1912" s="98"/>
    </row>
    <row r="1913" spans="7:7" x14ac:dyDescent="0.3">
      <c r="G1913" s="98"/>
    </row>
    <row r="1914" spans="7:7" x14ac:dyDescent="0.3">
      <c r="G1914" s="98"/>
    </row>
    <row r="1915" spans="7:7" x14ac:dyDescent="0.3">
      <c r="G1915" s="98"/>
    </row>
    <row r="1916" spans="7:7" x14ac:dyDescent="0.3">
      <c r="G1916" s="98"/>
    </row>
    <row r="1917" spans="7:7" x14ac:dyDescent="0.3">
      <c r="G1917" s="98"/>
    </row>
    <row r="1918" spans="7:7" x14ac:dyDescent="0.3">
      <c r="G1918" s="98"/>
    </row>
    <row r="1919" spans="7:7" x14ac:dyDescent="0.3">
      <c r="G1919" s="98"/>
    </row>
    <row r="1920" spans="7:7" x14ac:dyDescent="0.3">
      <c r="G1920" s="98"/>
    </row>
    <row r="1921" spans="7:7" x14ac:dyDescent="0.3">
      <c r="G1921" s="98"/>
    </row>
    <row r="1922" spans="7:7" x14ac:dyDescent="0.3">
      <c r="G1922" s="98"/>
    </row>
    <row r="1923" spans="7:7" x14ac:dyDescent="0.3">
      <c r="G1923" s="98"/>
    </row>
    <row r="1924" spans="7:7" x14ac:dyDescent="0.3">
      <c r="G1924" s="98"/>
    </row>
    <row r="1925" spans="7:7" x14ac:dyDescent="0.3">
      <c r="G1925" s="98"/>
    </row>
    <row r="1926" spans="7:7" x14ac:dyDescent="0.3">
      <c r="G1926" s="98"/>
    </row>
    <row r="1927" spans="7:7" x14ac:dyDescent="0.3">
      <c r="G1927" s="98"/>
    </row>
    <row r="1928" spans="7:7" x14ac:dyDescent="0.3">
      <c r="G1928" s="98"/>
    </row>
    <row r="1929" spans="7:7" x14ac:dyDescent="0.3">
      <c r="G1929" s="98"/>
    </row>
    <row r="1930" spans="7:7" x14ac:dyDescent="0.3">
      <c r="G1930" s="98"/>
    </row>
    <row r="1931" spans="7:7" x14ac:dyDescent="0.3">
      <c r="G1931" s="98"/>
    </row>
    <row r="1932" spans="7:7" x14ac:dyDescent="0.3">
      <c r="G1932" s="98"/>
    </row>
    <row r="1933" spans="7:7" x14ac:dyDescent="0.3">
      <c r="G1933" s="98"/>
    </row>
    <row r="1934" spans="7:7" x14ac:dyDescent="0.3">
      <c r="G1934" s="98"/>
    </row>
    <row r="1935" spans="7:7" x14ac:dyDescent="0.3">
      <c r="G1935" s="98"/>
    </row>
    <row r="1936" spans="7:7" x14ac:dyDescent="0.3">
      <c r="G1936" s="98"/>
    </row>
    <row r="1937" spans="7:7" x14ac:dyDescent="0.3">
      <c r="G1937" s="98"/>
    </row>
    <row r="1938" spans="7:7" x14ac:dyDescent="0.3">
      <c r="G1938" s="98"/>
    </row>
    <row r="1939" spans="7:7" x14ac:dyDescent="0.3">
      <c r="G1939" s="98"/>
    </row>
    <row r="1940" spans="7:7" x14ac:dyDescent="0.3">
      <c r="G1940" s="98"/>
    </row>
    <row r="1941" spans="7:7" x14ac:dyDescent="0.3">
      <c r="G1941" s="98"/>
    </row>
    <row r="1942" spans="7:7" x14ac:dyDescent="0.3">
      <c r="G1942" s="98"/>
    </row>
    <row r="1943" spans="7:7" x14ac:dyDescent="0.3">
      <c r="G1943" s="98"/>
    </row>
    <row r="1944" spans="7:7" x14ac:dyDescent="0.3">
      <c r="G1944" s="98"/>
    </row>
    <row r="1945" spans="7:7" x14ac:dyDescent="0.3">
      <c r="G1945" s="98"/>
    </row>
    <row r="1946" spans="7:7" x14ac:dyDescent="0.3">
      <c r="G1946" s="98"/>
    </row>
    <row r="1947" spans="7:7" x14ac:dyDescent="0.3">
      <c r="G1947" s="98"/>
    </row>
    <row r="1948" spans="7:7" x14ac:dyDescent="0.3">
      <c r="G1948" s="98"/>
    </row>
    <row r="1949" spans="7:7" x14ac:dyDescent="0.3">
      <c r="G1949" s="98"/>
    </row>
    <row r="1950" spans="7:7" x14ac:dyDescent="0.3">
      <c r="G1950" s="98"/>
    </row>
    <row r="1951" spans="7:7" x14ac:dyDescent="0.3">
      <c r="G1951" s="98"/>
    </row>
    <row r="1952" spans="7:7" x14ac:dyDescent="0.3">
      <c r="G1952" s="98"/>
    </row>
    <row r="1953" spans="7:7" x14ac:dyDescent="0.3">
      <c r="G1953" s="98"/>
    </row>
    <row r="1954" spans="7:7" x14ac:dyDescent="0.3">
      <c r="G1954" s="98"/>
    </row>
    <row r="1955" spans="7:7" x14ac:dyDescent="0.3">
      <c r="G1955" s="98"/>
    </row>
    <row r="1956" spans="7:7" x14ac:dyDescent="0.3">
      <c r="G1956" s="98"/>
    </row>
    <row r="1957" spans="7:7" x14ac:dyDescent="0.3">
      <c r="G1957" s="98"/>
    </row>
    <row r="1958" spans="7:7" x14ac:dyDescent="0.3">
      <c r="G1958" s="98"/>
    </row>
    <row r="1959" spans="7:7" x14ac:dyDescent="0.3">
      <c r="G1959" s="98"/>
    </row>
    <row r="1960" spans="7:7" x14ac:dyDescent="0.3">
      <c r="G1960" s="98"/>
    </row>
    <row r="1961" spans="7:7" x14ac:dyDescent="0.3">
      <c r="G1961" s="98"/>
    </row>
    <row r="1962" spans="7:7" x14ac:dyDescent="0.3">
      <c r="G1962" s="98"/>
    </row>
    <row r="1963" spans="7:7" x14ac:dyDescent="0.3">
      <c r="G1963" s="98"/>
    </row>
    <row r="1964" spans="7:7" x14ac:dyDescent="0.3">
      <c r="G1964" s="98"/>
    </row>
    <row r="1965" spans="7:7" x14ac:dyDescent="0.3">
      <c r="G1965" s="98"/>
    </row>
    <row r="1966" spans="7:7" x14ac:dyDescent="0.3">
      <c r="G1966" s="98"/>
    </row>
    <row r="1967" spans="7:7" x14ac:dyDescent="0.3">
      <c r="G1967" s="98"/>
    </row>
    <row r="1968" spans="7:7" x14ac:dyDescent="0.3">
      <c r="G1968" s="98"/>
    </row>
    <row r="1969" spans="7:7" x14ac:dyDescent="0.3">
      <c r="G1969" s="98"/>
    </row>
    <row r="1970" spans="7:7" x14ac:dyDescent="0.3">
      <c r="G1970" s="98"/>
    </row>
    <row r="1971" spans="7:7" x14ac:dyDescent="0.3">
      <c r="G1971" s="98"/>
    </row>
    <row r="1972" spans="7:7" x14ac:dyDescent="0.3">
      <c r="G1972" s="98"/>
    </row>
    <row r="1973" spans="7:7" x14ac:dyDescent="0.3">
      <c r="G1973" s="98"/>
    </row>
    <row r="1974" spans="7:7" x14ac:dyDescent="0.3">
      <c r="G1974" s="98"/>
    </row>
    <row r="1975" spans="7:7" x14ac:dyDescent="0.3">
      <c r="G1975" s="98"/>
    </row>
    <row r="1976" spans="7:7" x14ac:dyDescent="0.3">
      <c r="G1976" s="98"/>
    </row>
    <row r="1977" spans="7:7" x14ac:dyDescent="0.3">
      <c r="G1977" s="98"/>
    </row>
    <row r="1978" spans="7:7" x14ac:dyDescent="0.3">
      <c r="G1978" s="98"/>
    </row>
    <row r="1979" spans="7:7" x14ac:dyDescent="0.3">
      <c r="G1979" s="98"/>
    </row>
    <row r="1980" spans="7:7" x14ac:dyDescent="0.3">
      <c r="G1980" s="98"/>
    </row>
    <row r="1981" spans="7:7" x14ac:dyDescent="0.3">
      <c r="G1981" s="98"/>
    </row>
    <row r="1982" spans="7:7" x14ac:dyDescent="0.3">
      <c r="G1982" s="98"/>
    </row>
    <row r="1983" spans="7:7" x14ac:dyDescent="0.3">
      <c r="G1983" s="98"/>
    </row>
    <row r="1984" spans="7:7" x14ac:dyDescent="0.3">
      <c r="G1984" s="98"/>
    </row>
    <row r="1985" spans="7:7" x14ac:dyDescent="0.3">
      <c r="G1985" s="98"/>
    </row>
    <row r="1986" spans="7:7" x14ac:dyDescent="0.3">
      <c r="G1986" s="98"/>
    </row>
    <row r="1987" spans="7:7" x14ac:dyDescent="0.3">
      <c r="G1987" s="98"/>
    </row>
    <row r="1988" spans="7:7" x14ac:dyDescent="0.3">
      <c r="G1988" s="98"/>
    </row>
    <row r="1989" spans="7:7" x14ac:dyDescent="0.3">
      <c r="G1989" s="98"/>
    </row>
    <row r="1990" spans="7:7" x14ac:dyDescent="0.3">
      <c r="G1990" s="98"/>
    </row>
    <row r="1991" spans="7:7" x14ac:dyDescent="0.3">
      <c r="G1991" s="98"/>
    </row>
    <row r="1992" spans="7:7" x14ac:dyDescent="0.3">
      <c r="G1992" s="98"/>
    </row>
    <row r="1993" spans="7:7" x14ac:dyDescent="0.3">
      <c r="G1993" s="98"/>
    </row>
    <row r="1994" spans="7:7" x14ac:dyDescent="0.3">
      <c r="G1994" s="98"/>
    </row>
    <row r="1995" spans="7:7" x14ac:dyDescent="0.3">
      <c r="G1995" s="98"/>
    </row>
    <row r="1996" spans="7:7" x14ac:dyDescent="0.3">
      <c r="G1996" s="98"/>
    </row>
    <row r="1997" spans="7:7" x14ac:dyDescent="0.3">
      <c r="G1997" s="98"/>
    </row>
    <row r="1998" spans="7:7" x14ac:dyDescent="0.3">
      <c r="G1998" s="98"/>
    </row>
    <row r="1999" spans="7:7" x14ac:dyDescent="0.3">
      <c r="G1999" s="98"/>
    </row>
    <row r="2000" spans="7:7" x14ac:dyDescent="0.3">
      <c r="G2000" s="98"/>
    </row>
    <row r="2001" spans="7:7" x14ac:dyDescent="0.3">
      <c r="G2001" s="98"/>
    </row>
    <row r="2002" spans="7:7" x14ac:dyDescent="0.3">
      <c r="G2002" s="98"/>
    </row>
    <row r="2003" spans="7:7" x14ac:dyDescent="0.3">
      <c r="G2003" s="98"/>
    </row>
    <row r="2004" spans="7:7" x14ac:dyDescent="0.3">
      <c r="G2004" s="98"/>
    </row>
    <row r="2005" spans="7:7" x14ac:dyDescent="0.3">
      <c r="G2005" s="98"/>
    </row>
    <row r="2006" spans="7:7" x14ac:dyDescent="0.3">
      <c r="G2006" s="98"/>
    </row>
    <row r="2007" spans="7:7" x14ac:dyDescent="0.3">
      <c r="G2007" s="98"/>
    </row>
    <row r="2008" spans="7:7" x14ac:dyDescent="0.3">
      <c r="G2008" s="98"/>
    </row>
    <row r="2009" spans="7:7" x14ac:dyDescent="0.3">
      <c r="G2009" s="98"/>
    </row>
    <row r="2010" spans="7:7" x14ac:dyDescent="0.3">
      <c r="G2010" s="98"/>
    </row>
    <row r="2011" spans="7:7" x14ac:dyDescent="0.3">
      <c r="G2011" s="98"/>
    </row>
    <row r="2012" spans="7:7" x14ac:dyDescent="0.3">
      <c r="G2012" s="98"/>
    </row>
    <row r="2013" spans="7:7" x14ac:dyDescent="0.3">
      <c r="G2013" s="98"/>
    </row>
    <row r="2014" spans="7:7" x14ac:dyDescent="0.3">
      <c r="G2014" s="98"/>
    </row>
    <row r="2015" spans="7:7" x14ac:dyDescent="0.3">
      <c r="G2015" s="98"/>
    </row>
    <row r="2016" spans="7:7" x14ac:dyDescent="0.3">
      <c r="G2016" s="98"/>
    </row>
    <row r="2017" spans="7:7" x14ac:dyDescent="0.3">
      <c r="G2017" s="98"/>
    </row>
    <row r="2018" spans="7:7" x14ac:dyDescent="0.3">
      <c r="G2018" s="98"/>
    </row>
    <row r="2019" spans="7:7" x14ac:dyDescent="0.3">
      <c r="G2019" s="98"/>
    </row>
    <row r="2020" spans="7:7" x14ac:dyDescent="0.3">
      <c r="G2020" s="98"/>
    </row>
    <row r="2021" spans="7:7" x14ac:dyDescent="0.3">
      <c r="G2021" s="98"/>
    </row>
    <row r="2022" spans="7:7" x14ac:dyDescent="0.3">
      <c r="G2022" s="98"/>
    </row>
    <row r="2023" spans="7:7" x14ac:dyDescent="0.3">
      <c r="G2023" s="98"/>
    </row>
    <row r="2024" spans="7:7" x14ac:dyDescent="0.3">
      <c r="G2024" s="98"/>
    </row>
    <row r="2025" spans="7:7" x14ac:dyDescent="0.3">
      <c r="G2025" s="98"/>
    </row>
    <row r="2026" spans="7:7" x14ac:dyDescent="0.3">
      <c r="G2026" s="98"/>
    </row>
    <row r="2027" spans="7:7" x14ac:dyDescent="0.3">
      <c r="G2027" s="98"/>
    </row>
    <row r="2028" spans="7:7" x14ac:dyDescent="0.3">
      <c r="G2028" s="98"/>
    </row>
    <row r="2029" spans="7:7" x14ac:dyDescent="0.3">
      <c r="G2029" s="98"/>
    </row>
    <row r="2030" spans="7:7" x14ac:dyDescent="0.3">
      <c r="G2030" s="98"/>
    </row>
    <row r="2031" spans="7:7" x14ac:dyDescent="0.3">
      <c r="G2031" s="98"/>
    </row>
    <row r="2032" spans="7:7" x14ac:dyDescent="0.3">
      <c r="G2032" s="98"/>
    </row>
    <row r="2033" spans="7:7" x14ac:dyDescent="0.3">
      <c r="G2033" s="98"/>
    </row>
    <row r="2034" spans="7:7" x14ac:dyDescent="0.3">
      <c r="G2034" s="98"/>
    </row>
  </sheetData>
  <mergeCells count="29">
    <mergeCell ref="Q38:Q41"/>
    <mergeCell ref="R38:R41"/>
    <mergeCell ref="S38:S41"/>
    <mergeCell ref="P26:P33"/>
    <mergeCell ref="Q26:Q33"/>
    <mergeCell ref="R26:R33"/>
    <mergeCell ref="S26:S33"/>
    <mergeCell ref="P34:P37"/>
    <mergeCell ref="Q34:Q37"/>
    <mergeCell ref="R34:R37"/>
    <mergeCell ref="S34:S37"/>
    <mergeCell ref="Q18:Q21"/>
    <mergeCell ref="R18:R21"/>
    <mergeCell ref="S18:S21"/>
    <mergeCell ref="P22:P25"/>
    <mergeCell ref="Q22:Q25"/>
    <mergeCell ref="R22:R25"/>
    <mergeCell ref="S22:S25"/>
    <mergeCell ref="B2:E2"/>
    <mergeCell ref="B26:E26"/>
    <mergeCell ref="B70:E70"/>
    <mergeCell ref="A67:F67"/>
    <mergeCell ref="P18:P21"/>
    <mergeCell ref="P38:P41"/>
    <mergeCell ref="B120:F120"/>
    <mergeCell ref="G105:G106"/>
    <mergeCell ref="A88:F88"/>
    <mergeCell ref="B89:F89"/>
    <mergeCell ref="B49:E49"/>
  </mergeCells>
  <phoneticPr fontId="35" type="noConversion"/>
  <conditionalFormatting sqref="D28">
    <cfRule type="expression" dxfId="18" priority="1">
      <formula>IF(AND(#REF!="X",SUM(LEN(#REF!),LEN(#REF!),LEN(#REF!))&gt;=0),1,0)=1</formula>
    </cfRule>
  </conditionalFormatting>
  <conditionalFormatting sqref="F21:F22">
    <cfRule type="expression" dxfId="16" priority="25">
      <formula>IF(AND(#REF!="X",SUM(LEN(#REF!),LEN(#REF!),LEN(#REF!))&gt;=0),1,0)=1</formula>
    </cfRule>
  </conditionalFormatting>
  <dataValidations count="2">
    <dataValidation type="list" allowBlank="1" showInputMessage="1" showErrorMessage="1" sqref="D28" xr:uid="{7356FFF1-C2CE-42D4-9FDF-5718E2C68C51}">
      <formula1>"Yes,No"</formula1>
    </dataValidation>
    <dataValidation type="list" allowBlank="1" showInputMessage="1" showErrorMessage="1" sqref="F132:G132" xr:uid="{07983123-3072-4074-B1BE-935A476BD35B}">
      <formula1>"1920,3840"</formula1>
    </dataValidation>
  </dataValidations>
  <hyperlinks>
    <hyperlink ref="G2" location="'Excel Output'!C45" display="Return button" xr:uid="{B8DB0846-9F4D-4D21-ACEB-030B4A2815DE}"/>
    <hyperlink ref="G19" location="Compute!B26:H44" display="Worksheet" xr:uid="{2EA62742-392D-4095-BD1D-09D10F7237F9}"/>
    <hyperlink ref="G21" location="Compute!B46:H62" display="Worksheet" xr:uid="{72A96967-9DBA-45B2-B8BE-C02BEB9747AE}"/>
    <hyperlink ref="G20" location="Compute!B26:H44" display="Worksheet" xr:uid="{CEA4DD3E-8324-461A-8890-747704D1CF3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6" id="{45E41EBB-279B-4102-9293-2B0323BB1C69}">
            <xm:f>'Initial Screens'!#REF!="No"</xm:f>
            <x14:dxf>
              <fill>
                <patternFill>
                  <bgColor rgb="FFFFFFCC"/>
                </patternFill>
              </fill>
            </x14:dxf>
          </x14:cfRule>
          <xm:sqref>D35:D37 D40:D44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3785949-6499-4BA3-9D06-26A4E4BA62CD}">
          <x14:formula1>
            <xm:f>Misc!$B$95:$B$97</xm:f>
          </x14:formula1>
          <xm:sqref>C68</xm:sqref>
        </x14:dataValidation>
        <x14:dataValidation type="list" allowBlank="1" showInputMessage="1" showErrorMessage="1" xr:uid="{6FC1450B-4387-429F-8B3D-E8F01DFCCE78}">
          <x14:formula1>
            <xm:f>Misc!$B$95:$B$97</xm:f>
          </x14:formula1>
          <xm:sqref>C118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1364-68BA-48D9-82EC-ABF863FC199C}">
  <sheetPr codeName="Sheet5">
    <tabColor theme="9" tint="0.59999389629810485"/>
  </sheetPr>
  <dimension ref="A1:T1981"/>
  <sheetViews>
    <sheetView showGridLines="0" topLeftCell="A38" zoomScale="60" zoomScaleNormal="60" workbookViewId="0">
      <selection activeCell="C66" sqref="C66"/>
    </sheetView>
  </sheetViews>
  <sheetFormatPr defaultColWidth="16.44140625" defaultRowHeight="15.6" x14ac:dyDescent="0.3"/>
  <cols>
    <col min="1" max="1" width="9.21875" style="206" bestFit="1" customWidth="1"/>
    <col min="2" max="2" width="51" style="95" customWidth="1"/>
    <col min="3" max="4" width="18.77734375" style="95" customWidth="1"/>
    <col min="5" max="5" width="23.77734375" style="95" customWidth="1"/>
    <col min="6" max="6" width="25.21875" style="99" customWidth="1"/>
    <col min="7" max="7" width="18.44140625" style="210" customWidth="1"/>
    <col min="8" max="8" width="128.21875" style="100" customWidth="1"/>
    <col min="9" max="9" width="15.44140625" style="95" customWidth="1"/>
    <col min="10" max="10" width="13.44140625" style="95" customWidth="1"/>
    <col min="11" max="11" width="15.21875" style="95" customWidth="1"/>
    <col min="12" max="14" width="18.77734375" style="95" customWidth="1"/>
    <col min="15" max="17" width="18.77734375" style="99" customWidth="1"/>
    <col min="18" max="18" width="22.21875" style="96" customWidth="1"/>
    <col min="19" max="19" width="20.77734375" style="100" customWidth="1"/>
    <col min="20" max="20" width="43" style="195" customWidth="1"/>
    <col min="21" max="21" width="70.44140625" style="95" customWidth="1"/>
    <col min="22" max="22" width="6.77734375" style="95" customWidth="1"/>
    <col min="23" max="23" width="70.44140625" style="95" customWidth="1"/>
    <col min="24" max="16384" width="16.44140625" style="95"/>
  </cols>
  <sheetData>
    <row r="1" spans="1:20" ht="20.25" customHeight="1" thickBot="1" x14ac:dyDescent="0.35">
      <c r="B1" s="280"/>
      <c r="F1" s="95"/>
      <c r="G1" s="98"/>
      <c r="H1" s="98"/>
      <c r="N1" s="94"/>
      <c r="O1" s="95"/>
      <c r="P1" s="95"/>
      <c r="Q1" s="95"/>
      <c r="R1" s="95"/>
      <c r="S1" s="95"/>
      <c r="T1" s="95"/>
    </row>
    <row r="2" spans="1:20" ht="16.2" thickBot="1" x14ac:dyDescent="0.35">
      <c r="B2" s="886" t="s">
        <v>197</v>
      </c>
      <c r="C2" s="887"/>
      <c r="D2" s="887"/>
      <c r="E2" s="887"/>
      <c r="F2" s="207"/>
      <c r="G2" s="466" t="s">
        <v>473</v>
      </c>
      <c r="H2" s="208"/>
      <c r="I2" s="96"/>
      <c r="J2" s="96"/>
      <c r="K2" s="96"/>
      <c r="L2" s="96"/>
      <c r="M2" s="96"/>
      <c r="N2" s="96"/>
      <c r="O2" s="96"/>
      <c r="P2" s="96"/>
      <c r="Q2" s="96"/>
      <c r="S2" s="97"/>
    </row>
    <row r="3" spans="1:20" ht="16.2" thickBot="1" x14ac:dyDescent="0.35">
      <c r="F3" s="212"/>
      <c r="G3" s="98"/>
      <c r="H3" s="213"/>
      <c r="I3" s="96"/>
      <c r="J3" s="96"/>
      <c r="K3" s="96"/>
      <c r="L3" s="96"/>
      <c r="M3" s="96"/>
      <c r="N3" s="96"/>
      <c r="O3" s="96"/>
      <c r="P3" s="96"/>
      <c r="Q3" s="96"/>
    </row>
    <row r="4" spans="1:20" ht="20.25" customHeight="1" thickBot="1" x14ac:dyDescent="0.35">
      <c r="B4" s="5" t="s">
        <v>12</v>
      </c>
      <c r="C4" s="6"/>
      <c r="D4" s="6"/>
      <c r="E4" s="6"/>
      <c r="F4" s="72"/>
      <c r="G4" s="98"/>
      <c r="H4" s="11" t="s">
        <v>2</v>
      </c>
      <c r="I4" s="195"/>
    </row>
    <row r="5" spans="1:20" ht="20.25" customHeight="1" thickBot="1" x14ac:dyDescent="0.35">
      <c r="B5" s="7" t="s">
        <v>5</v>
      </c>
      <c r="C5" s="50"/>
      <c r="D5" s="50"/>
      <c r="E5" s="8"/>
      <c r="F5" s="138">
        <f>'Excel Output'!D22</f>
        <v>5000</v>
      </c>
      <c r="G5" s="98"/>
      <c r="H5" s="498" t="s">
        <v>187</v>
      </c>
      <c r="I5" s="195"/>
    </row>
    <row r="6" spans="1:20" ht="20.25" customHeight="1" thickBot="1" x14ac:dyDescent="0.35">
      <c r="A6" s="302" t="str">
        <f>IF(Compute!$D$68="No","Hide","Show")</f>
        <v>Show</v>
      </c>
      <c r="B6" s="7" t="s">
        <v>654</v>
      </c>
      <c r="D6" s="714"/>
      <c r="E6" s="8"/>
      <c r="F6" s="138">
        <f>Compute!F73</f>
        <v>0</v>
      </c>
      <c r="G6" s="98"/>
      <c r="H6" s="611" t="s">
        <v>227</v>
      </c>
      <c r="I6" s="195"/>
    </row>
    <row r="7" spans="1:20" ht="20.25" customHeight="1" thickBot="1" x14ac:dyDescent="0.35">
      <c r="B7" s="7" t="s">
        <v>44</v>
      </c>
      <c r="C7" s="50"/>
      <c r="D7" s="50"/>
      <c r="E7" s="8"/>
      <c r="F7" s="135">
        <f>'Excel Output'!D24</f>
        <v>300</v>
      </c>
      <c r="G7" s="98"/>
      <c r="H7" s="570"/>
      <c r="I7" s="195"/>
    </row>
    <row r="8" spans="1:20" ht="20.25" customHeight="1" thickBot="1" x14ac:dyDescent="0.35">
      <c r="A8" s="302" t="str">
        <f>IF(Compute!$D$68="No","Hide","Show")</f>
        <v>Show</v>
      </c>
      <c r="B8" s="7" t="s">
        <v>656</v>
      </c>
      <c r="C8" s="50"/>
      <c r="D8" s="714"/>
      <c r="E8" s="8"/>
      <c r="F8" s="717">
        <f>IF(Compute!D68="No",0,'Excel Output'!D24)</f>
        <v>300</v>
      </c>
      <c r="G8" s="465" t="str">
        <f>IF(Compute!D68="No","leave blank","")</f>
        <v/>
      </c>
      <c r="H8" s="380" t="s">
        <v>255</v>
      </c>
      <c r="I8" s="195"/>
    </row>
    <row r="9" spans="1:20" ht="20.25" customHeight="1" thickBot="1" x14ac:dyDescent="0.35">
      <c r="B9" s="7" t="s">
        <v>54</v>
      </c>
      <c r="C9" s="50"/>
      <c r="D9" s="50"/>
      <c r="E9" s="8"/>
      <c r="F9" s="89">
        <f>ROUND(F5*F7+F6*F8,0)</f>
        <v>1500000</v>
      </c>
      <c r="G9" s="98"/>
      <c r="H9" s="500" t="s">
        <v>8</v>
      </c>
      <c r="I9" s="195"/>
    </row>
    <row r="10" spans="1:20" ht="31.8" thickBot="1" x14ac:dyDescent="0.35">
      <c r="B10" s="7" t="s">
        <v>55</v>
      </c>
      <c r="C10" s="50"/>
      <c r="D10" s="50"/>
      <c r="E10" s="8"/>
      <c r="F10" s="186">
        <v>0.7</v>
      </c>
      <c r="G10" s="98"/>
      <c r="H10" s="378" t="s">
        <v>465</v>
      </c>
      <c r="I10" s="195"/>
    </row>
    <row r="11" spans="1:20" ht="20.25" customHeight="1" thickBot="1" x14ac:dyDescent="0.35">
      <c r="B11" s="7" t="s">
        <v>56</v>
      </c>
      <c r="C11" s="50"/>
      <c r="D11" s="50"/>
      <c r="E11" s="8"/>
      <c r="F11" s="89">
        <f>ROUND(F9/F10,0)</f>
        <v>2142857</v>
      </c>
      <c r="G11" s="98"/>
      <c r="H11" s="500" t="s">
        <v>8</v>
      </c>
      <c r="I11" s="195"/>
    </row>
    <row r="12" spans="1:20" ht="20.25" customHeight="1" thickBot="1" x14ac:dyDescent="0.35">
      <c r="A12" s="302" t="str">
        <f>IF('Initial Screens'!$C$13="VVF","Hide","Show")</f>
        <v>Show</v>
      </c>
      <c r="B12" s="7" t="s">
        <v>188</v>
      </c>
      <c r="C12" s="50"/>
      <c r="D12" s="50"/>
      <c r="E12" s="8"/>
      <c r="F12" s="191">
        <f>Compute!F8</f>
        <v>0</v>
      </c>
      <c r="G12" s="98"/>
      <c r="H12" s="498" t="s">
        <v>187</v>
      </c>
      <c r="I12" s="195"/>
      <c r="K12" s="100"/>
      <c r="L12" s="100"/>
      <c r="M12" s="100"/>
      <c r="N12" s="100"/>
      <c r="O12" s="100"/>
      <c r="P12" s="100"/>
      <c r="Q12" s="100"/>
      <c r="R12" s="100"/>
    </row>
    <row r="13" spans="1:20" ht="20.25" customHeight="1" thickBot="1" x14ac:dyDescent="0.35">
      <c r="A13" s="302" t="str">
        <f>IF($F$12=100%,"Hide","Show")</f>
        <v>Show</v>
      </c>
      <c r="B13" s="7" t="s">
        <v>214</v>
      </c>
      <c r="C13" s="50"/>
      <c r="D13" s="50"/>
      <c r="E13" s="8"/>
      <c r="F13" s="189">
        <v>2</v>
      </c>
      <c r="G13" s="98"/>
      <c r="H13" s="378" t="s">
        <v>6</v>
      </c>
      <c r="I13" s="195"/>
    </row>
    <row r="14" spans="1:20" ht="20.25" customHeight="1" thickBot="1" x14ac:dyDescent="0.35">
      <c r="A14" s="302" t="str">
        <f>IF($F$12=0%,"Hide","Show")</f>
        <v>Hide</v>
      </c>
      <c r="B14" s="7" t="s">
        <v>215</v>
      </c>
      <c r="C14" s="50"/>
      <c r="D14" s="50"/>
      <c r="E14" s="8"/>
      <c r="F14" s="189">
        <f>F26</f>
        <v>0.98</v>
      </c>
      <c r="G14" s="98"/>
      <c r="H14" s="378" t="s">
        <v>507</v>
      </c>
      <c r="I14" s="195"/>
    </row>
    <row r="15" spans="1:20" ht="20.25" customHeight="1" thickBot="1" x14ac:dyDescent="0.35">
      <c r="B15" s="7" t="s">
        <v>466</v>
      </c>
      <c r="C15" s="50"/>
      <c r="D15" s="50"/>
      <c r="E15" s="8"/>
      <c r="F15" s="190">
        <v>0.05</v>
      </c>
      <c r="G15" s="98"/>
      <c r="H15" s="378" t="s">
        <v>198</v>
      </c>
      <c r="I15" s="195"/>
    </row>
    <row r="16" spans="1:20" ht="20.25" customHeight="1" thickBot="1" x14ac:dyDescent="0.35">
      <c r="B16" s="7" t="s">
        <v>42</v>
      </c>
      <c r="C16" s="50"/>
      <c r="D16" s="50"/>
      <c r="E16" s="8"/>
      <c r="F16" s="135">
        <f>'Excel Output'!D23</f>
        <v>400</v>
      </c>
      <c r="G16" s="98"/>
      <c r="H16" s="501">
        <f>'Initial Screens'!$E$17</f>
        <v>0</v>
      </c>
      <c r="I16" s="195"/>
    </row>
    <row r="17" spans="1:9" ht="20.25" customHeight="1" thickBot="1" x14ac:dyDescent="0.35">
      <c r="A17" s="708"/>
      <c r="B17" s="7" t="s">
        <v>658</v>
      </c>
      <c r="C17" s="50"/>
      <c r="D17" s="50"/>
      <c r="E17" s="8"/>
      <c r="F17" s="609">
        <f>Compute!F8*Compute!F10+(1-Compute!F8)*Compute!F9</f>
        <v>25000</v>
      </c>
      <c r="G17" s="98"/>
      <c r="H17" s="498" t="s">
        <v>8</v>
      </c>
      <c r="I17" s="195"/>
    </row>
    <row r="18" spans="1:9" ht="20.25" customHeight="1" thickBot="1" x14ac:dyDescent="0.35">
      <c r="A18" s="302" t="str">
        <f>IF(Compute!$D$68="No","Hide","Show")</f>
        <v>Show</v>
      </c>
      <c r="B18" s="7" t="s">
        <v>657</v>
      </c>
      <c r="C18" s="50"/>
      <c r="D18" s="50"/>
      <c r="E18" s="8"/>
      <c r="F18" s="609">
        <f>Compute!F74</f>
        <v>5000</v>
      </c>
      <c r="G18" s="98"/>
      <c r="H18" s="611" t="s">
        <v>227</v>
      </c>
      <c r="I18" s="195"/>
    </row>
    <row r="19" spans="1:9" ht="20.25" customHeight="1" thickBot="1" x14ac:dyDescent="0.35">
      <c r="A19" s="95"/>
      <c r="B19" s="7" t="s">
        <v>57</v>
      </c>
      <c r="C19" s="50"/>
      <c r="D19" s="50"/>
      <c r="E19" s="62"/>
      <c r="F19" s="136">
        <f>ROUND(F15*(F16*F17+F6*F18),0)</f>
        <v>500000</v>
      </c>
      <c r="G19" s="708"/>
      <c r="H19" s="500" t="s">
        <v>8</v>
      </c>
      <c r="I19" s="195"/>
    </row>
    <row r="20" spans="1:9" ht="20.25" customHeight="1" thickBot="1" x14ac:dyDescent="0.35">
      <c r="B20" s="7" t="s">
        <v>213</v>
      </c>
      <c r="C20" s="50"/>
      <c r="D20" s="50"/>
      <c r="E20" s="67"/>
      <c r="F20" s="183">
        <v>0.15</v>
      </c>
      <c r="G20" s="98"/>
      <c r="H20" s="379" t="s">
        <v>255</v>
      </c>
      <c r="I20" s="195"/>
    </row>
    <row r="21" spans="1:9" ht="20.25" customHeight="1" thickBot="1" x14ac:dyDescent="0.35">
      <c r="B21" s="91" t="str">
        <f>FIXED(AnalysisTerm,0)&amp;"-Year Current State Cost"</f>
        <v>10-Year Current State Cost</v>
      </c>
      <c r="C21" s="92"/>
      <c r="D21" s="92"/>
      <c r="E21" s="93"/>
      <c r="F21" s="147">
        <f>ROUND(Storage!F11*Storage!F12*Storage!F14+Storage!F11*(1-Storage!F12)*Storage!F13+Storage!F19,0)*(1+AnalysisTerm*Storage!F20)</f>
        <v>11964285</v>
      </c>
      <c r="G21" s="98"/>
      <c r="H21" s="500" t="s">
        <v>8</v>
      </c>
      <c r="I21" s="195"/>
    </row>
    <row r="22" spans="1:9" ht="20.25" customHeight="1" thickBot="1" x14ac:dyDescent="0.35">
      <c r="B22" s="74" t="s">
        <v>13</v>
      </c>
      <c r="C22" s="152"/>
      <c r="D22" s="75"/>
      <c r="E22" s="67"/>
      <c r="F22" s="12"/>
      <c r="G22" s="98"/>
      <c r="H22" s="98"/>
      <c r="I22" s="98"/>
    </row>
    <row r="23" spans="1:9" ht="20.25" customHeight="1" thickBot="1" x14ac:dyDescent="0.35">
      <c r="B23" s="7" t="s">
        <v>5</v>
      </c>
      <c r="C23" s="50"/>
      <c r="D23" s="50"/>
      <c r="E23" s="8"/>
      <c r="F23" s="140">
        <f>ROUND(SUM(Compute!F15),0)</f>
        <v>4500</v>
      </c>
      <c r="G23" s="98"/>
      <c r="H23" s="500" t="s">
        <v>8</v>
      </c>
      <c r="I23" s="195"/>
    </row>
    <row r="24" spans="1:9" ht="20.25" customHeight="1" thickBot="1" x14ac:dyDescent="0.35">
      <c r="A24" s="708"/>
      <c r="B24" s="7" t="s">
        <v>55</v>
      </c>
      <c r="C24" s="50"/>
      <c r="D24" s="50"/>
      <c r="E24" s="805"/>
      <c r="F24" s="723">
        <f>IF('Initial Screens'!$C$13="VVF",F10,C47)</f>
        <v>1.125</v>
      </c>
      <c r="G24" s="496" t="s">
        <v>503</v>
      </c>
      <c r="H24" s="500" t="s">
        <v>508</v>
      </c>
      <c r="I24" s="195"/>
    </row>
    <row r="25" spans="1:9" ht="20.25" customHeight="1" thickBot="1" x14ac:dyDescent="0.35">
      <c r="B25" s="7" t="s">
        <v>56</v>
      </c>
      <c r="C25" s="50"/>
      <c r="D25" s="67"/>
      <c r="E25" s="804"/>
      <c r="F25" s="967">
        <f>ROUND(F23*F7*'Initial Screens'!D24/F24+F23*F7*(1-'Initial Screens'!D24)/Storage!F10,0)</f>
        <v>1200000</v>
      </c>
      <c r="G25" s="465"/>
      <c r="H25" s="968" t="s">
        <v>844</v>
      </c>
      <c r="I25" s="195"/>
    </row>
    <row r="26" spans="1:9" ht="20.25" customHeight="1" thickBot="1" x14ac:dyDescent="0.35">
      <c r="A26" s="302" t="str">
        <f>IF($F$29&gt;0,"Show","Hide")</f>
        <v>Show</v>
      </c>
      <c r="B26" s="7" t="s">
        <v>171</v>
      </c>
      <c r="C26" s="50"/>
      <c r="D26" s="50"/>
      <c r="E26" s="8"/>
      <c r="F26" s="188">
        <f>C66</f>
        <v>0.98</v>
      </c>
      <c r="G26" s="496" t="s">
        <v>503</v>
      </c>
      <c r="H26" s="501" t="s">
        <v>58</v>
      </c>
      <c r="I26" s="195"/>
    </row>
    <row r="27" spans="1:9" ht="20.25" customHeight="1" thickBot="1" x14ac:dyDescent="0.35">
      <c r="A27" s="302" t="str">
        <f>IF($F$30&gt;0,"Show","Hide")</f>
        <v>Hide</v>
      </c>
      <c r="B27" s="7" t="s">
        <v>172</v>
      </c>
      <c r="C27" s="50"/>
      <c r="D27" s="50"/>
      <c r="E27" s="8"/>
      <c r="F27" s="189">
        <f>F13</f>
        <v>2</v>
      </c>
      <c r="G27" s="465"/>
      <c r="H27" s="378" t="s">
        <v>6</v>
      </c>
      <c r="I27" s="195"/>
    </row>
    <row r="28" spans="1:9" ht="20.25" customHeight="1" thickBot="1" x14ac:dyDescent="0.35">
      <c r="A28" s="302" t="str">
        <f>IF($F$30&gt;0,"Show","Hide")</f>
        <v>Hide</v>
      </c>
      <c r="B28" s="155" t="str">
        <f>B15</f>
        <v>Other Storage Devices (includes SAN switches, HBAs etc.)  as % of Host Cost</v>
      </c>
      <c r="C28" s="50"/>
      <c r="D28" s="159"/>
      <c r="E28" s="8"/>
      <c r="F28" s="158">
        <f>F15</f>
        <v>0.05</v>
      </c>
      <c r="G28" s="98"/>
      <c r="H28" s="379" t="s">
        <v>52</v>
      </c>
      <c r="I28" s="195"/>
    </row>
    <row r="29" spans="1:9" ht="20.25" customHeight="1" thickBot="1" x14ac:dyDescent="0.35">
      <c r="A29" s="302" t="str">
        <f>IF($F$29&gt;0,"Show","Hide")</f>
        <v>Show</v>
      </c>
      <c r="B29" s="155" t="s">
        <v>48</v>
      </c>
      <c r="C29" s="50"/>
      <c r="D29" s="50"/>
      <c r="E29" s="67"/>
      <c r="F29" s="89">
        <f>Compute!F19</f>
        <v>143</v>
      </c>
      <c r="G29" s="98"/>
      <c r="H29" s="500" t="s">
        <v>227</v>
      </c>
      <c r="I29" s="195"/>
    </row>
    <row r="30" spans="1:9" ht="20.25" customHeight="1" thickBot="1" x14ac:dyDescent="0.35">
      <c r="A30" s="302" t="str">
        <f>IF($F$30&gt;0,"Show","Hide")</f>
        <v>Hide</v>
      </c>
      <c r="B30" s="155" t="s">
        <v>49</v>
      </c>
      <c r="C30" s="50"/>
      <c r="D30" s="50"/>
      <c r="E30" s="67"/>
      <c r="F30" s="89">
        <f>Compute!F20</f>
        <v>0</v>
      </c>
      <c r="G30" s="98"/>
      <c r="H30" s="500" t="s">
        <v>227</v>
      </c>
      <c r="I30" s="195"/>
    </row>
    <row r="31" spans="1:9" ht="20.25" customHeight="1" thickBot="1" x14ac:dyDescent="0.35">
      <c r="A31" s="302" t="str">
        <f>IF($F$30&gt;0,"Show","Hide")</f>
        <v>Hide</v>
      </c>
      <c r="B31" s="155" t="s">
        <v>51</v>
      </c>
      <c r="C31" s="50"/>
      <c r="D31" s="50"/>
      <c r="E31" s="8"/>
      <c r="F31" s="78">
        <f>Compute!F9</f>
        <v>25000</v>
      </c>
      <c r="G31" s="98"/>
      <c r="H31" s="378" t="s">
        <v>199</v>
      </c>
      <c r="I31" s="195"/>
    </row>
    <row r="32" spans="1:9" ht="20.25" customHeight="1" thickBot="1" x14ac:dyDescent="0.35">
      <c r="A32" s="302" t="str">
        <f>IF($F$30&gt;0,"Show","Hide")</f>
        <v>Hide</v>
      </c>
      <c r="B32" s="7" t="s">
        <v>57</v>
      </c>
      <c r="C32" s="50"/>
      <c r="D32" s="50"/>
      <c r="E32" s="116"/>
      <c r="F32" s="136">
        <f>F28*F30*F31</f>
        <v>0</v>
      </c>
      <c r="G32" s="98"/>
      <c r="H32" s="500" t="s">
        <v>8</v>
      </c>
      <c r="I32" s="195"/>
    </row>
    <row r="33" spans="1:9" ht="20.25" customHeight="1" thickBot="1" x14ac:dyDescent="0.35">
      <c r="B33" s="7" t="s">
        <v>213</v>
      </c>
      <c r="C33" s="50"/>
      <c r="D33" s="50"/>
      <c r="E33" s="67"/>
      <c r="F33" s="183">
        <v>0.15</v>
      </c>
      <c r="G33" s="98"/>
      <c r="H33" s="379" t="s">
        <v>255</v>
      </c>
      <c r="I33" s="195"/>
    </row>
    <row r="34" spans="1:9" ht="20.25" customHeight="1" thickBot="1" x14ac:dyDescent="0.35">
      <c r="B34" s="91" t="str">
        <f>FIXED(AnalysisTerm,0)&amp;"-Year Future State Cost"</f>
        <v>10-Year Future State Cost</v>
      </c>
      <c r="C34" s="92"/>
      <c r="D34" s="92"/>
      <c r="E34" s="93"/>
      <c r="F34" s="102">
        <f>ROUND(F25*F26*Compute!F16+F25*(1-Compute!F16)*F27+F32,0)*(1+AnalysisTerm*F33)</f>
        <v>2940000</v>
      </c>
      <c r="G34" s="98"/>
      <c r="H34" s="500" t="s">
        <v>8</v>
      </c>
      <c r="I34" s="195"/>
    </row>
    <row r="35" spans="1:9" ht="20.25" customHeight="1" x14ac:dyDescent="0.3">
      <c r="F35" s="96"/>
      <c r="G35" s="98"/>
      <c r="H35" s="95"/>
      <c r="I35" s="195"/>
    </row>
    <row r="36" spans="1:9" s="94" customFormat="1" x14ac:dyDescent="0.3">
      <c r="A36" s="714" t="str">
        <f>IF('Initial Screens'!$C$13="VVF","Hide","Show")</f>
        <v>Show</v>
      </c>
      <c r="B36" s="896" t="s">
        <v>504</v>
      </c>
      <c r="C36" s="897"/>
      <c r="D36" s="897"/>
      <c r="E36" s="897"/>
      <c r="F36" s="898"/>
    </row>
    <row r="37" spans="1:9" s="94" customFormat="1" x14ac:dyDescent="0.3">
      <c r="A37" s="714" t="str">
        <f>IF('Initial Screens'!$C$13="VVF","Hide","Show")</f>
        <v>Show</v>
      </c>
    </row>
    <row r="38" spans="1:9" s="94" customFormat="1" x14ac:dyDescent="0.3">
      <c r="A38" s="714" t="str">
        <f>IF('Initial Screens'!$C$13="VVF","Hide","Show")</f>
        <v>Show</v>
      </c>
      <c r="B38" s="23" t="s">
        <v>180</v>
      </c>
      <c r="H38" s="156" t="s">
        <v>61</v>
      </c>
    </row>
    <row r="39" spans="1:9" s="94" customFormat="1" x14ac:dyDescent="0.3">
      <c r="A39" s="714" t="str">
        <f>IF('Initial Screens'!$C$13="VVF","Hide","Show")</f>
        <v>Show</v>
      </c>
      <c r="B39" s="114" t="s">
        <v>169</v>
      </c>
      <c r="C39" s="720">
        <v>1920</v>
      </c>
      <c r="D39" s="105" t="s">
        <v>610</v>
      </c>
      <c r="H39" s="378" t="s">
        <v>6</v>
      </c>
    </row>
    <row r="40" spans="1:9" s="94" customFormat="1" x14ac:dyDescent="0.3">
      <c r="A40" s="714" t="str">
        <f>IF('Initial Screens'!$C$13="VVF","Hide","Show")</f>
        <v>Show</v>
      </c>
      <c r="B40" s="114" t="s">
        <v>173</v>
      </c>
      <c r="C40" s="721">
        <f>ROUND(25%,3)</f>
        <v>0.25</v>
      </c>
      <c r="E40" s="105" t="s">
        <v>735</v>
      </c>
      <c r="H40" s="378" t="s">
        <v>6</v>
      </c>
    </row>
    <row r="41" spans="1:9" s="94" customFormat="1" x14ac:dyDescent="0.3">
      <c r="A41" s="714" t="str">
        <f>IF('Initial Screens'!$C$13="VVF","Hide","Show")</f>
        <v>Show</v>
      </c>
      <c r="B41" s="695" t="s">
        <v>733</v>
      </c>
      <c r="C41" s="696">
        <f>ROUND(1-C40,3)</f>
        <v>0.75</v>
      </c>
      <c r="D41" s="708"/>
      <c r="H41" s="500" t="s">
        <v>8</v>
      </c>
    </row>
    <row r="42" spans="1:9" s="94" customFormat="1" x14ac:dyDescent="0.3">
      <c r="A42" s="714" t="str">
        <f>IF('Initial Screens'!$C$13="VVF","Hide","Show")</f>
        <v>Show</v>
      </c>
      <c r="B42" s="114" t="s">
        <v>174</v>
      </c>
      <c r="C42" s="722">
        <v>1.5</v>
      </c>
      <c r="F42" s="241"/>
      <c r="G42" s="241"/>
      <c r="H42" s="264" t="s">
        <v>202</v>
      </c>
    </row>
    <row r="43" spans="1:9" s="94" customFormat="1" x14ac:dyDescent="0.3">
      <c r="A43" s="714" t="str">
        <f>IF('Initial Screens'!$C$13="VVF","Hide","Show")</f>
        <v>Show</v>
      </c>
      <c r="B43" s="114" t="s">
        <v>175</v>
      </c>
      <c r="C43" s="722">
        <v>1.5</v>
      </c>
      <c r="D43" s="785"/>
      <c r="H43" s="378" t="s">
        <v>6</v>
      </c>
    </row>
    <row r="44" spans="1:9" s="94" customFormat="1" x14ac:dyDescent="0.3">
      <c r="A44" s="801" t="str">
        <f>IF(AND($A$43="Show",'Initial Screens'!C13="VCF 9"),"Show","hide")</f>
        <v>Show</v>
      </c>
      <c r="B44" s="114" t="s">
        <v>776</v>
      </c>
      <c r="C44" s="722">
        <f>IF(A44="Show",1.5,1)</f>
        <v>1.5</v>
      </c>
      <c r="D44" s="785"/>
      <c r="H44" s="378" t="s">
        <v>6</v>
      </c>
    </row>
    <row r="45" spans="1:9" s="94" customFormat="1" x14ac:dyDescent="0.3">
      <c r="A45" s="714" t="str">
        <f>IF('Initial Screens'!$C$13="VVF","Hide","Show")</f>
        <v>Show</v>
      </c>
      <c r="B45" s="695" t="s">
        <v>734</v>
      </c>
      <c r="C45" s="694">
        <f>ROUND(C39*C41*C43*C44/C42,1)</f>
        <v>2160</v>
      </c>
      <c r="D45" s="708"/>
      <c r="H45" s="500" t="s">
        <v>8</v>
      </c>
    </row>
    <row r="46" spans="1:9" s="94" customFormat="1" x14ac:dyDescent="0.3">
      <c r="A46" s="801" t="str">
        <f>$A$44</f>
        <v>Show</v>
      </c>
      <c r="B46" s="695" t="s">
        <v>777</v>
      </c>
      <c r="C46" s="694">
        <f>C45/C39</f>
        <v>1.125</v>
      </c>
      <c r="D46" s="763"/>
      <c r="H46" s="500" t="s">
        <v>8</v>
      </c>
    </row>
    <row r="47" spans="1:9" s="94" customFormat="1" x14ac:dyDescent="0.3">
      <c r="A47" s="714" t="str">
        <f>IF('Initial Screens'!$C$13="VVF","Hide","Show")</f>
        <v>Show</v>
      </c>
      <c r="B47" s="695" t="s">
        <v>200</v>
      </c>
      <c r="C47" s="696">
        <f>ROUND(C45/(C39),3)</f>
        <v>1.125</v>
      </c>
      <c r="H47" s="500" t="s">
        <v>8</v>
      </c>
    </row>
    <row r="48" spans="1:9" s="94" customFormat="1" x14ac:dyDescent="0.3">
      <c r="A48" s="714" t="str">
        <f>IF('Initial Screens'!$C$13="VVF","Hide","Show")</f>
        <v>Show</v>
      </c>
      <c r="B48" s="469"/>
      <c r="C48" s="469"/>
      <c r="D48" s="469"/>
      <c r="E48" s="469"/>
      <c r="F48" s="469"/>
      <c r="G48" s="469"/>
      <c r="H48" s="469"/>
      <c r="I48" s="469"/>
    </row>
    <row r="49" spans="1:11" s="94" customFormat="1" x14ac:dyDescent="0.3">
      <c r="A49" s="714" t="str">
        <f>IF('Initial Screens'!$C$13="VVF","Hide","Show")</f>
        <v>Show</v>
      </c>
      <c r="B49" s="896" t="s">
        <v>505</v>
      </c>
      <c r="C49" s="897"/>
      <c r="D49" s="897"/>
      <c r="E49" s="897"/>
      <c r="F49" s="898"/>
      <c r="K49" s="129"/>
    </row>
    <row r="50" spans="1:11" s="94" customFormat="1" x14ac:dyDescent="0.3">
      <c r="A50" s="714" t="str">
        <f>IF('Initial Screens'!$C$13="VVF","Hide","Show")</f>
        <v>Show</v>
      </c>
      <c r="K50" s="129"/>
    </row>
    <row r="51" spans="1:11" s="94" customFormat="1" x14ac:dyDescent="0.3">
      <c r="A51" s="714" t="str">
        <f>IF('Initial Screens'!$C$13="VVF","Hide","Show")</f>
        <v>Show</v>
      </c>
      <c r="B51" s="697" t="s">
        <v>746</v>
      </c>
      <c r="K51" s="95"/>
    </row>
    <row r="52" spans="1:11" s="94" customFormat="1" x14ac:dyDescent="0.3">
      <c r="A52" s="714" t="str">
        <f>IF('Initial Screens'!$C$13="VVF","Hide","Show")</f>
        <v>Show</v>
      </c>
      <c r="B52" s="242" t="s">
        <v>48</v>
      </c>
      <c r="C52" s="240">
        <f>F29</f>
        <v>143</v>
      </c>
      <c r="H52" s="500" t="s">
        <v>227</v>
      </c>
      <c r="K52" s="95"/>
    </row>
    <row r="53" spans="1:11" s="94" customFormat="1" x14ac:dyDescent="0.3">
      <c r="A53" s="714" t="str">
        <f>IF('Initial Screens'!$C$13="VVF","Hide","Show")</f>
        <v>Show</v>
      </c>
      <c r="B53" s="242" t="s">
        <v>201</v>
      </c>
      <c r="C53" s="698">
        <f>IFERROR(IF(ROUNDUP(F25*'Excel Output'!E30/(F29*C39),0)&lt;4,4,ROUNDUP(F25*'Excel Output'!E30/(F29*C39),0)),0)</f>
        <v>5</v>
      </c>
      <c r="D53" s="219" t="str">
        <f>IF(C53&gt;24,"Increase Capacity Disk Size","")</f>
        <v/>
      </c>
      <c r="H53" s="381" t="s">
        <v>203</v>
      </c>
      <c r="K53" s="95"/>
    </row>
    <row r="54" spans="1:11" s="94" customFormat="1" x14ac:dyDescent="0.3">
      <c r="A54" s="714" t="str">
        <f>IF('Initial Screens'!$C$13="VVF","Hide","Show")</f>
        <v>Show</v>
      </c>
      <c r="B54" s="242" t="s">
        <v>176</v>
      </c>
      <c r="C54" s="243">
        <f>C53*C39*0.000909495</f>
        <v>8.7311519999999998</v>
      </c>
      <c r="D54" s="263" t="s">
        <v>233</v>
      </c>
      <c r="E54" s="105"/>
      <c r="F54" s="105"/>
      <c r="H54" s="500" t="s">
        <v>8</v>
      </c>
      <c r="K54" s="95"/>
    </row>
    <row r="55" spans="1:11" s="94" customFormat="1" x14ac:dyDescent="0.3">
      <c r="A55" s="714" t="str">
        <f>IF('Initial Screens'!$C$13="VVF","Hide","Show")</f>
        <v>Show</v>
      </c>
      <c r="B55" s="242" t="s">
        <v>839</v>
      </c>
      <c r="C55" s="243">
        <f>C54*C47</f>
        <v>9.8225459999999991</v>
      </c>
      <c r="D55" s="263"/>
      <c r="E55" s="105"/>
      <c r="F55" s="105"/>
      <c r="H55" s="226"/>
      <c r="K55" s="95"/>
    </row>
    <row r="56" spans="1:11" s="94" customFormat="1" x14ac:dyDescent="0.3">
      <c r="A56" s="714" t="str">
        <f>IF('Initial Screens'!$C$13="VVF","Hide","Show")</f>
        <v>Show</v>
      </c>
      <c r="F56" s="105"/>
      <c r="H56" s="244"/>
      <c r="K56" s="95"/>
    </row>
    <row r="57" spans="1:11" s="94" customFormat="1" x14ac:dyDescent="0.3">
      <c r="A57" s="714" t="str">
        <f>IF('Initial Screens'!$C$13="VVF","Hide","Show")</f>
        <v>Show</v>
      </c>
      <c r="B57" s="23" t="s">
        <v>179</v>
      </c>
      <c r="C57" s="131" t="s">
        <v>178</v>
      </c>
      <c r="D57" s="131" t="s">
        <v>77</v>
      </c>
      <c r="E57" s="131" t="s">
        <v>204</v>
      </c>
      <c r="F57" s="99"/>
      <c r="K57" s="95"/>
    </row>
    <row r="58" spans="1:11" s="94" customFormat="1" x14ac:dyDescent="0.3">
      <c r="A58" s="714" t="str">
        <f>IF('Initial Screens'!$C$13="VVF","Hide","Show")</f>
        <v>Show</v>
      </c>
      <c r="B58" s="245" t="str">
        <f>B53</f>
        <v xml:space="preserve">Total capacity disks per host                                        </v>
      </c>
      <c r="C58" s="246">
        <f>C39</f>
        <v>1920</v>
      </c>
      <c r="D58" s="247">
        <f>C53</f>
        <v>5</v>
      </c>
      <c r="E58" s="248">
        <f>ROUND(C58*0.855,0)</f>
        <v>1642</v>
      </c>
      <c r="H58" s="382" t="s">
        <v>235</v>
      </c>
      <c r="K58" s="95"/>
    </row>
    <row r="59" spans="1:11" s="94" customFormat="1" x14ac:dyDescent="0.3">
      <c r="A59" s="714" t="str">
        <f>IF('Initial Screens'!$C$13="VVF","Hide","Show")</f>
        <v>Show</v>
      </c>
      <c r="K59" s="95"/>
    </row>
    <row r="60" spans="1:11" s="94" customFormat="1" x14ac:dyDescent="0.3">
      <c r="A60" s="714" t="str">
        <f>IF('Initial Screens'!$C$13="VVF","Hide","Show")</f>
        <v>Show</v>
      </c>
      <c r="B60" s="249" t="s">
        <v>236</v>
      </c>
      <c r="C60" s="563">
        <v>0</v>
      </c>
      <c r="D60" s="143"/>
      <c r="E60" s="143"/>
      <c r="H60" s="379" t="s">
        <v>6</v>
      </c>
      <c r="K60" s="95"/>
    </row>
    <row r="61" spans="1:11" s="94" customFormat="1" x14ac:dyDescent="0.3">
      <c r="A61" s="714" t="str">
        <f>IF('Initial Screens'!$C$13="VVF","Hide","Show")</f>
        <v>Show</v>
      </c>
      <c r="B61" s="238" t="s">
        <v>205</v>
      </c>
      <c r="C61" s="235">
        <f>ROUNDUP(D58*E58*(1-C60),0)</f>
        <v>8210</v>
      </c>
      <c r="D61" s="95"/>
      <c r="E61" s="251"/>
      <c r="F61" s="250"/>
      <c r="H61" s="500" t="s">
        <v>8</v>
      </c>
      <c r="K61" s="95"/>
    </row>
    <row r="62" spans="1:11" s="94" customFormat="1" x14ac:dyDescent="0.3">
      <c r="A62" s="714" t="str">
        <f>IF('Initial Screens'!$C$13="VVF","Hide","Show")</f>
        <v>Show</v>
      </c>
      <c r="D62" s="95"/>
      <c r="K62" s="95"/>
    </row>
    <row r="63" spans="1:11" s="94" customFormat="1" x14ac:dyDescent="0.3">
      <c r="A63" s="714" t="str">
        <f>IF('Initial Screens'!$C$13="VVF","Hide","Show")</f>
        <v>Show</v>
      </c>
      <c r="C63" s="232" t="s">
        <v>13</v>
      </c>
      <c r="D63" s="95"/>
      <c r="E63" s="95"/>
      <c r="H63" s="156" t="s">
        <v>61</v>
      </c>
      <c r="K63" s="95"/>
    </row>
    <row r="64" spans="1:11" s="94" customFormat="1" x14ac:dyDescent="0.3">
      <c r="A64" s="714" t="str">
        <f>IF('Initial Screens'!$C$13="VVF","Hide","Show")</f>
        <v>Show</v>
      </c>
      <c r="B64" s="253" t="s">
        <v>737</v>
      </c>
      <c r="C64" s="252">
        <f>F29*C61</f>
        <v>1174030</v>
      </c>
      <c r="D64" s="708"/>
      <c r="H64" s="500" t="s">
        <v>8</v>
      </c>
      <c r="K64" s="95"/>
    </row>
    <row r="65" spans="1:11" s="94" customFormat="1" x14ac:dyDescent="0.3">
      <c r="A65" s="714" t="str">
        <f>IF('Initial Screens'!$C$13="VVF","Hide","Show")</f>
        <v>Show</v>
      </c>
      <c r="B65" s="253" t="s">
        <v>56</v>
      </c>
      <c r="C65" s="699">
        <f>F25*'Excel Output'!E30</f>
        <v>1200000</v>
      </c>
      <c r="D65" s="95"/>
      <c r="H65" s="500" t="s">
        <v>64</v>
      </c>
      <c r="K65" s="95"/>
    </row>
    <row r="66" spans="1:11" s="94" customFormat="1" x14ac:dyDescent="0.3">
      <c r="A66" s="714" t="str">
        <f>IF('Initial Screens'!$C$13="VVF","Hide","Show")</f>
        <v>Show</v>
      </c>
      <c r="B66" s="253" t="s">
        <v>94</v>
      </c>
      <c r="C66" s="254">
        <f>IFERROR(ROUND(C64/(C65),2),0)</f>
        <v>0.98</v>
      </c>
      <c r="D66" s="95"/>
      <c r="H66" s="500" t="s">
        <v>8</v>
      </c>
      <c r="K66" s="95"/>
    </row>
    <row r="67" spans="1:11" s="94" customFormat="1" x14ac:dyDescent="0.3">
      <c r="A67" s="801" t="str">
        <f>IF('Initial Screens'!$C$13="VVF","Hide","Show")</f>
        <v>Show</v>
      </c>
      <c r="B67" s="972" t="s">
        <v>842</v>
      </c>
      <c r="C67" s="971">
        <f>IFERROR(ROUND(C64/(C55*C52*1099.511627776),2),0)</f>
        <v>0.76</v>
      </c>
      <c r="G67" s="130"/>
      <c r="H67" s="500" t="s">
        <v>8</v>
      </c>
    </row>
    <row r="68" spans="1:11" x14ac:dyDescent="0.3">
      <c r="D68" s="803"/>
      <c r="F68" s="94"/>
    </row>
    <row r="69" spans="1:11" x14ac:dyDescent="0.3">
      <c r="F69" s="94"/>
    </row>
    <row r="200" spans="2:20" ht="20.25" customHeight="1" x14ac:dyDescent="0.3">
      <c r="B200" s="255"/>
      <c r="C200" s="256"/>
      <c r="D200" s="257"/>
      <c r="E200" s="257"/>
      <c r="F200" s="257"/>
      <c r="G200" s="98"/>
      <c r="H200" s="95"/>
      <c r="I200" s="195"/>
    </row>
    <row r="201" spans="2:20" ht="10.050000000000001" customHeight="1" x14ac:dyDescent="0.3">
      <c r="G201" s="98"/>
      <c r="H201" s="211"/>
      <c r="O201" s="95"/>
      <c r="P201" s="95"/>
      <c r="Q201" s="95"/>
      <c r="R201" s="95"/>
      <c r="S201" s="95"/>
      <c r="T201" s="95"/>
    </row>
    <row r="202" spans="2:20" collapsed="1" x14ac:dyDescent="0.3">
      <c r="G202" s="98"/>
    </row>
    <row r="203" spans="2:20" x14ac:dyDescent="0.3">
      <c r="G203" s="98"/>
    </row>
    <row r="204" spans="2:20" x14ac:dyDescent="0.3">
      <c r="G204" s="98"/>
    </row>
    <row r="205" spans="2:20" x14ac:dyDescent="0.3">
      <c r="G205" s="98"/>
    </row>
    <row r="206" spans="2:20" x14ac:dyDescent="0.3">
      <c r="G206" s="98"/>
    </row>
    <row r="207" spans="2:20" x14ac:dyDescent="0.3">
      <c r="G207" s="98"/>
    </row>
    <row r="208" spans="2:20" x14ac:dyDescent="0.3">
      <c r="G208" s="98"/>
    </row>
    <row r="209" spans="7:7" x14ac:dyDescent="0.3">
      <c r="G209" s="98"/>
    </row>
    <row r="210" spans="7:7" x14ac:dyDescent="0.3">
      <c r="G210" s="98"/>
    </row>
    <row r="211" spans="7:7" x14ac:dyDescent="0.3">
      <c r="G211" s="98"/>
    </row>
    <row r="212" spans="7:7" x14ac:dyDescent="0.3">
      <c r="G212" s="98"/>
    </row>
    <row r="213" spans="7:7" x14ac:dyDescent="0.3">
      <c r="G213" s="98"/>
    </row>
    <row r="214" spans="7:7" x14ac:dyDescent="0.3">
      <c r="G214" s="98"/>
    </row>
    <row r="215" spans="7:7" x14ac:dyDescent="0.3">
      <c r="G215" s="98"/>
    </row>
    <row r="216" spans="7:7" x14ac:dyDescent="0.3">
      <c r="G216" s="98"/>
    </row>
    <row r="217" spans="7:7" x14ac:dyDescent="0.3">
      <c r="G217" s="98"/>
    </row>
    <row r="218" spans="7:7" x14ac:dyDescent="0.3">
      <c r="G218" s="98"/>
    </row>
    <row r="219" spans="7:7" x14ac:dyDescent="0.3">
      <c r="G219" s="98"/>
    </row>
    <row r="220" spans="7:7" x14ac:dyDescent="0.3">
      <c r="G220" s="98"/>
    </row>
    <row r="221" spans="7:7" x14ac:dyDescent="0.3">
      <c r="G221" s="98"/>
    </row>
    <row r="222" spans="7:7" x14ac:dyDescent="0.3">
      <c r="G222" s="98"/>
    </row>
    <row r="223" spans="7:7" x14ac:dyDescent="0.3">
      <c r="G223" s="98"/>
    </row>
    <row r="224" spans="7:7" x14ac:dyDescent="0.3">
      <c r="G224" s="98"/>
    </row>
    <row r="225" spans="7:7" x14ac:dyDescent="0.3">
      <c r="G225" s="98"/>
    </row>
    <row r="226" spans="7:7" x14ac:dyDescent="0.3">
      <c r="G226" s="98"/>
    </row>
    <row r="227" spans="7:7" x14ac:dyDescent="0.3">
      <c r="G227" s="98"/>
    </row>
    <row r="228" spans="7:7" x14ac:dyDescent="0.3">
      <c r="G228" s="98"/>
    </row>
    <row r="229" spans="7:7" x14ac:dyDescent="0.3">
      <c r="G229" s="98"/>
    </row>
    <row r="230" spans="7:7" x14ac:dyDescent="0.3">
      <c r="G230" s="98"/>
    </row>
    <row r="231" spans="7:7" x14ac:dyDescent="0.3">
      <c r="G231" s="98"/>
    </row>
    <row r="232" spans="7:7" x14ac:dyDescent="0.3">
      <c r="G232" s="98"/>
    </row>
    <row r="233" spans="7:7" x14ac:dyDescent="0.3">
      <c r="G233" s="98"/>
    </row>
    <row r="234" spans="7:7" x14ac:dyDescent="0.3">
      <c r="G234" s="98"/>
    </row>
    <row r="235" spans="7:7" x14ac:dyDescent="0.3">
      <c r="G235" s="98"/>
    </row>
    <row r="236" spans="7:7" x14ac:dyDescent="0.3">
      <c r="G236" s="98"/>
    </row>
    <row r="237" spans="7:7" x14ac:dyDescent="0.3">
      <c r="G237" s="98"/>
    </row>
    <row r="238" spans="7:7" x14ac:dyDescent="0.3">
      <c r="G238" s="98"/>
    </row>
    <row r="239" spans="7:7" x14ac:dyDescent="0.3">
      <c r="G239" s="98"/>
    </row>
    <row r="240" spans="7:7" x14ac:dyDescent="0.3">
      <c r="G240" s="98"/>
    </row>
    <row r="241" spans="7:7" x14ac:dyDescent="0.3">
      <c r="G241" s="98"/>
    </row>
    <row r="242" spans="7:7" x14ac:dyDescent="0.3">
      <c r="G242" s="98"/>
    </row>
    <row r="243" spans="7:7" x14ac:dyDescent="0.3">
      <c r="G243" s="98"/>
    </row>
    <row r="244" spans="7:7" x14ac:dyDescent="0.3">
      <c r="G244" s="98"/>
    </row>
    <row r="245" spans="7:7" x14ac:dyDescent="0.3">
      <c r="G245" s="98"/>
    </row>
    <row r="246" spans="7:7" x14ac:dyDescent="0.3">
      <c r="G246" s="98"/>
    </row>
    <row r="247" spans="7:7" x14ac:dyDescent="0.3">
      <c r="G247" s="98"/>
    </row>
    <row r="248" spans="7:7" x14ac:dyDescent="0.3">
      <c r="G248" s="98"/>
    </row>
    <row r="249" spans="7:7" x14ac:dyDescent="0.3">
      <c r="G249" s="98"/>
    </row>
    <row r="250" spans="7:7" x14ac:dyDescent="0.3">
      <c r="G250" s="98"/>
    </row>
    <row r="251" spans="7:7" x14ac:dyDescent="0.3">
      <c r="G251" s="98"/>
    </row>
    <row r="252" spans="7:7" x14ac:dyDescent="0.3">
      <c r="G252" s="98"/>
    </row>
    <row r="253" spans="7:7" x14ac:dyDescent="0.3">
      <c r="G253" s="98"/>
    </row>
    <row r="254" spans="7:7" x14ac:dyDescent="0.3">
      <c r="G254" s="98"/>
    </row>
    <row r="255" spans="7:7" x14ac:dyDescent="0.3">
      <c r="G255" s="98"/>
    </row>
    <row r="256" spans="7:7" x14ac:dyDescent="0.3">
      <c r="G256" s="98"/>
    </row>
    <row r="257" spans="7:7" x14ac:dyDescent="0.3">
      <c r="G257" s="98"/>
    </row>
    <row r="258" spans="7:7" x14ac:dyDescent="0.3">
      <c r="G258" s="98"/>
    </row>
    <row r="259" spans="7:7" x14ac:dyDescent="0.3">
      <c r="G259" s="98"/>
    </row>
    <row r="260" spans="7:7" x14ac:dyDescent="0.3">
      <c r="G260" s="98"/>
    </row>
    <row r="261" spans="7:7" x14ac:dyDescent="0.3">
      <c r="G261" s="98"/>
    </row>
    <row r="262" spans="7:7" x14ac:dyDescent="0.3">
      <c r="G262" s="98"/>
    </row>
    <row r="263" spans="7:7" x14ac:dyDescent="0.3">
      <c r="G263" s="98"/>
    </row>
    <row r="264" spans="7:7" x14ac:dyDescent="0.3">
      <c r="G264" s="98"/>
    </row>
    <row r="265" spans="7:7" x14ac:dyDescent="0.3">
      <c r="G265" s="98"/>
    </row>
    <row r="266" spans="7:7" x14ac:dyDescent="0.3">
      <c r="G266" s="98"/>
    </row>
    <row r="267" spans="7:7" x14ac:dyDescent="0.3">
      <c r="G267" s="98"/>
    </row>
    <row r="268" spans="7:7" x14ac:dyDescent="0.3">
      <c r="G268" s="98"/>
    </row>
    <row r="269" spans="7:7" x14ac:dyDescent="0.3">
      <c r="G269" s="98"/>
    </row>
    <row r="270" spans="7:7" x14ac:dyDescent="0.3">
      <c r="G270" s="98"/>
    </row>
    <row r="271" spans="7:7" x14ac:dyDescent="0.3">
      <c r="G271" s="98"/>
    </row>
    <row r="272" spans="7:7" x14ac:dyDescent="0.3">
      <c r="G272" s="98"/>
    </row>
    <row r="273" spans="7:7" x14ac:dyDescent="0.3">
      <c r="G273" s="98"/>
    </row>
    <row r="274" spans="7:7" x14ac:dyDescent="0.3">
      <c r="G274" s="98"/>
    </row>
    <row r="275" spans="7:7" x14ac:dyDescent="0.3">
      <c r="G275" s="98"/>
    </row>
    <row r="276" spans="7:7" x14ac:dyDescent="0.3">
      <c r="G276" s="98"/>
    </row>
    <row r="277" spans="7:7" x14ac:dyDescent="0.3">
      <c r="G277" s="98"/>
    </row>
    <row r="278" spans="7:7" x14ac:dyDescent="0.3">
      <c r="G278" s="98"/>
    </row>
    <row r="279" spans="7:7" x14ac:dyDescent="0.3">
      <c r="G279" s="98"/>
    </row>
    <row r="280" spans="7:7" x14ac:dyDescent="0.3">
      <c r="G280" s="98"/>
    </row>
    <row r="281" spans="7:7" x14ac:dyDescent="0.3">
      <c r="G281" s="98"/>
    </row>
    <row r="282" spans="7:7" x14ac:dyDescent="0.3">
      <c r="G282" s="98"/>
    </row>
    <row r="283" spans="7:7" x14ac:dyDescent="0.3">
      <c r="G283" s="98"/>
    </row>
    <row r="284" spans="7:7" x14ac:dyDescent="0.3">
      <c r="G284" s="98"/>
    </row>
    <row r="285" spans="7:7" x14ac:dyDescent="0.3">
      <c r="G285" s="98"/>
    </row>
    <row r="286" spans="7:7" x14ac:dyDescent="0.3">
      <c r="G286" s="98"/>
    </row>
    <row r="287" spans="7:7" x14ac:dyDescent="0.3">
      <c r="G287" s="98"/>
    </row>
    <row r="288" spans="7:7" x14ac:dyDescent="0.3">
      <c r="G288" s="98"/>
    </row>
    <row r="289" spans="7:7" x14ac:dyDescent="0.3">
      <c r="G289" s="98"/>
    </row>
    <row r="290" spans="7:7" x14ac:dyDescent="0.3">
      <c r="G290" s="98"/>
    </row>
    <row r="291" spans="7:7" x14ac:dyDescent="0.3">
      <c r="G291" s="98"/>
    </row>
    <row r="292" spans="7:7" x14ac:dyDescent="0.3">
      <c r="G292" s="98"/>
    </row>
    <row r="293" spans="7:7" x14ac:dyDescent="0.3">
      <c r="G293" s="98"/>
    </row>
    <row r="294" spans="7:7" x14ac:dyDescent="0.3">
      <c r="G294" s="98"/>
    </row>
    <row r="295" spans="7:7" x14ac:dyDescent="0.3">
      <c r="G295" s="98"/>
    </row>
    <row r="296" spans="7:7" x14ac:dyDescent="0.3">
      <c r="G296" s="98"/>
    </row>
    <row r="297" spans="7:7" x14ac:dyDescent="0.3">
      <c r="G297" s="98"/>
    </row>
    <row r="298" spans="7:7" x14ac:dyDescent="0.3">
      <c r="G298" s="98"/>
    </row>
    <row r="299" spans="7:7" x14ac:dyDescent="0.3">
      <c r="G299" s="98"/>
    </row>
    <row r="300" spans="7:7" x14ac:dyDescent="0.3">
      <c r="G300" s="98"/>
    </row>
    <row r="301" spans="7:7" x14ac:dyDescent="0.3">
      <c r="G301" s="98"/>
    </row>
    <row r="302" spans="7:7" x14ac:dyDescent="0.3">
      <c r="G302" s="98"/>
    </row>
    <row r="303" spans="7:7" x14ac:dyDescent="0.3">
      <c r="G303" s="98"/>
    </row>
    <row r="304" spans="7:7" x14ac:dyDescent="0.3">
      <c r="G304" s="98"/>
    </row>
    <row r="305" spans="7:7" x14ac:dyDescent="0.3">
      <c r="G305" s="98"/>
    </row>
    <row r="306" spans="7:7" x14ac:dyDescent="0.3">
      <c r="G306" s="98"/>
    </row>
    <row r="307" spans="7:7" x14ac:dyDescent="0.3">
      <c r="G307" s="98"/>
    </row>
    <row r="308" spans="7:7" x14ac:dyDescent="0.3">
      <c r="G308" s="98"/>
    </row>
    <row r="309" spans="7:7" x14ac:dyDescent="0.3">
      <c r="G309" s="98"/>
    </row>
    <row r="310" spans="7:7" x14ac:dyDescent="0.3">
      <c r="G310" s="98"/>
    </row>
    <row r="311" spans="7:7" x14ac:dyDescent="0.3">
      <c r="G311" s="98"/>
    </row>
    <row r="312" spans="7:7" x14ac:dyDescent="0.3">
      <c r="G312" s="98"/>
    </row>
    <row r="313" spans="7:7" x14ac:dyDescent="0.3">
      <c r="G313" s="98"/>
    </row>
    <row r="314" spans="7:7" x14ac:dyDescent="0.3">
      <c r="G314" s="98"/>
    </row>
    <row r="315" spans="7:7" x14ac:dyDescent="0.3">
      <c r="G315" s="98"/>
    </row>
    <row r="316" spans="7:7" x14ac:dyDescent="0.3">
      <c r="G316" s="98"/>
    </row>
    <row r="317" spans="7:7" x14ac:dyDescent="0.3">
      <c r="G317" s="98"/>
    </row>
    <row r="318" spans="7:7" x14ac:dyDescent="0.3">
      <c r="G318" s="98"/>
    </row>
    <row r="319" spans="7:7" x14ac:dyDescent="0.3">
      <c r="G319" s="98"/>
    </row>
    <row r="320" spans="7:7" x14ac:dyDescent="0.3">
      <c r="G320" s="98"/>
    </row>
    <row r="321" spans="7:7" x14ac:dyDescent="0.3">
      <c r="G321" s="98"/>
    </row>
    <row r="322" spans="7:7" x14ac:dyDescent="0.3">
      <c r="G322" s="98"/>
    </row>
    <row r="323" spans="7:7" x14ac:dyDescent="0.3">
      <c r="G323" s="98"/>
    </row>
    <row r="324" spans="7:7" x14ac:dyDescent="0.3">
      <c r="G324" s="98"/>
    </row>
    <row r="325" spans="7:7" x14ac:dyDescent="0.3">
      <c r="G325" s="98"/>
    </row>
    <row r="326" spans="7:7" x14ac:dyDescent="0.3">
      <c r="G326" s="98"/>
    </row>
    <row r="327" spans="7:7" x14ac:dyDescent="0.3">
      <c r="G327" s="98"/>
    </row>
    <row r="328" spans="7:7" x14ac:dyDescent="0.3">
      <c r="G328" s="98"/>
    </row>
    <row r="329" spans="7:7" x14ac:dyDescent="0.3">
      <c r="G329" s="98"/>
    </row>
    <row r="330" spans="7:7" x14ac:dyDescent="0.3">
      <c r="G330" s="98"/>
    </row>
    <row r="331" spans="7:7" x14ac:dyDescent="0.3">
      <c r="G331" s="98"/>
    </row>
    <row r="332" spans="7:7" x14ac:dyDescent="0.3">
      <c r="G332" s="98"/>
    </row>
    <row r="333" spans="7:7" x14ac:dyDescent="0.3">
      <c r="G333" s="98"/>
    </row>
    <row r="334" spans="7:7" x14ac:dyDescent="0.3">
      <c r="G334" s="98"/>
    </row>
    <row r="335" spans="7:7" x14ac:dyDescent="0.3">
      <c r="G335" s="98"/>
    </row>
    <row r="336" spans="7:7" x14ac:dyDescent="0.3">
      <c r="G336" s="98"/>
    </row>
    <row r="337" spans="7:7" x14ac:dyDescent="0.3">
      <c r="G337" s="98"/>
    </row>
    <row r="338" spans="7:7" x14ac:dyDescent="0.3">
      <c r="G338" s="98"/>
    </row>
    <row r="339" spans="7:7" x14ac:dyDescent="0.3">
      <c r="G339" s="98"/>
    </row>
    <row r="340" spans="7:7" x14ac:dyDescent="0.3">
      <c r="G340" s="98"/>
    </row>
    <row r="341" spans="7:7" x14ac:dyDescent="0.3">
      <c r="G341" s="98"/>
    </row>
    <row r="342" spans="7:7" x14ac:dyDescent="0.3">
      <c r="G342" s="98"/>
    </row>
    <row r="343" spans="7:7" x14ac:dyDescent="0.3">
      <c r="G343" s="98"/>
    </row>
    <row r="344" spans="7:7" x14ac:dyDescent="0.3">
      <c r="G344" s="98"/>
    </row>
    <row r="345" spans="7:7" x14ac:dyDescent="0.3">
      <c r="G345" s="98"/>
    </row>
    <row r="346" spans="7:7" x14ac:dyDescent="0.3">
      <c r="G346" s="98"/>
    </row>
    <row r="347" spans="7:7" x14ac:dyDescent="0.3">
      <c r="G347" s="98"/>
    </row>
    <row r="348" spans="7:7" x14ac:dyDescent="0.3">
      <c r="G348" s="98"/>
    </row>
    <row r="349" spans="7:7" x14ac:dyDescent="0.3">
      <c r="G349" s="98"/>
    </row>
    <row r="350" spans="7:7" x14ac:dyDescent="0.3">
      <c r="G350" s="98"/>
    </row>
    <row r="351" spans="7:7" x14ac:dyDescent="0.3">
      <c r="G351" s="98"/>
    </row>
    <row r="352" spans="7:7" x14ac:dyDescent="0.3">
      <c r="G352" s="98"/>
    </row>
    <row r="353" spans="7:7" x14ac:dyDescent="0.3">
      <c r="G353" s="98"/>
    </row>
    <row r="354" spans="7:7" x14ac:dyDescent="0.3">
      <c r="G354" s="98"/>
    </row>
    <row r="355" spans="7:7" x14ac:dyDescent="0.3">
      <c r="G355" s="98"/>
    </row>
    <row r="356" spans="7:7" x14ac:dyDescent="0.3">
      <c r="G356" s="98"/>
    </row>
    <row r="357" spans="7:7" x14ac:dyDescent="0.3">
      <c r="G357" s="98"/>
    </row>
    <row r="358" spans="7:7" x14ac:dyDescent="0.3">
      <c r="G358" s="98"/>
    </row>
    <row r="359" spans="7:7" x14ac:dyDescent="0.3">
      <c r="G359" s="98"/>
    </row>
    <row r="360" spans="7:7" x14ac:dyDescent="0.3">
      <c r="G360" s="98"/>
    </row>
    <row r="361" spans="7:7" x14ac:dyDescent="0.3">
      <c r="G361" s="98"/>
    </row>
    <row r="362" spans="7:7" x14ac:dyDescent="0.3">
      <c r="G362" s="98"/>
    </row>
    <row r="363" spans="7:7" x14ac:dyDescent="0.3">
      <c r="G363" s="98"/>
    </row>
    <row r="364" spans="7:7" x14ac:dyDescent="0.3">
      <c r="G364" s="98"/>
    </row>
    <row r="365" spans="7:7" x14ac:dyDescent="0.3">
      <c r="G365" s="98"/>
    </row>
    <row r="366" spans="7:7" x14ac:dyDescent="0.3">
      <c r="G366" s="98"/>
    </row>
    <row r="367" spans="7:7" x14ac:dyDescent="0.3">
      <c r="G367" s="98"/>
    </row>
    <row r="368" spans="7:7" x14ac:dyDescent="0.3">
      <c r="G368" s="98"/>
    </row>
    <row r="369" spans="7:7" x14ac:dyDescent="0.3">
      <c r="G369" s="98"/>
    </row>
    <row r="370" spans="7:7" x14ac:dyDescent="0.3">
      <c r="G370" s="98"/>
    </row>
    <row r="371" spans="7:7" x14ac:dyDescent="0.3">
      <c r="G371" s="98"/>
    </row>
    <row r="372" spans="7:7" x14ac:dyDescent="0.3">
      <c r="G372" s="98"/>
    </row>
    <row r="373" spans="7:7" x14ac:dyDescent="0.3">
      <c r="G373" s="98"/>
    </row>
    <row r="374" spans="7:7" x14ac:dyDescent="0.3">
      <c r="G374" s="98"/>
    </row>
    <row r="375" spans="7:7" x14ac:dyDescent="0.3">
      <c r="G375" s="98"/>
    </row>
    <row r="376" spans="7:7" x14ac:dyDescent="0.3">
      <c r="G376" s="98"/>
    </row>
    <row r="377" spans="7:7" x14ac:dyDescent="0.3">
      <c r="G377" s="98"/>
    </row>
    <row r="378" spans="7:7" x14ac:dyDescent="0.3">
      <c r="G378" s="98"/>
    </row>
    <row r="379" spans="7:7" x14ac:dyDescent="0.3">
      <c r="G379" s="98"/>
    </row>
    <row r="380" spans="7:7" x14ac:dyDescent="0.3">
      <c r="G380" s="98"/>
    </row>
    <row r="381" spans="7:7" x14ac:dyDescent="0.3">
      <c r="G381" s="98"/>
    </row>
    <row r="382" spans="7:7" x14ac:dyDescent="0.3">
      <c r="G382" s="98"/>
    </row>
    <row r="383" spans="7:7" x14ac:dyDescent="0.3">
      <c r="G383" s="98"/>
    </row>
    <row r="384" spans="7:7" x14ac:dyDescent="0.3">
      <c r="G384" s="98"/>
    </row>
    <row r="385" spans="7:7" x14ac:dyDescent="0.3">
      <c r="G385" s="98"/>
    </row>
    <row r="386" spans="7:7" x14ac:dyDescent="0.3">
      <c r="G386" s="98"/>
    </row>
    <row r="387" spans="7:7" x14ac:dyDescent="0.3">
      <c r="G387" s="98"/>
    </row>
    <row r="388" spans="7:7" x14ac:dyDescent="0.3">
      <c r="G388" s="98"/>
    </row>
    <row r="389" spans="7:7" x14ac:dyDescent="0.3">
      <c r="G389" s="98"/>
    </row>
    <row r="390" spans="7:7" x14ac:dyDescent="0.3">
      <c r="G390" s="98"/>
    </row>
    <row r="391" spans="7:7" x14ac:dyDescent="0.3">
      <c r="G391" s="98"/>
    </row>
    <row r="392" spans="7:7" x14ac:dyDescent="0.3">
      <c r="G392" s="98"/>
    </row>
    <row r="393" spans="7:7" x14ac:dyDescent="0.3">
      <c r="G393" s="98"/>
    </row>
    <row r="394" spans="7:7" x14ac:dyDescent="0.3">
      <c r="G394" s="98"/>
    </row>
    <row r="395" spans="7:7" x14ac:dyDescent="0.3">
      <c r="G395" s="98"/>
    </row>
    <row r="396" spans="7:7" x14ac:dyDescent="0.3">
      <c r="G396" s="98"/>
    </row>
    <row r="397" spans="7:7" x14ac:dyDescent="0.3">
      <c r="G397" s="98"/>
    </row>
    <row r="398" spans="7:7" x14ac:dyDescent="0.3">
      <c r="G398" s="98"/>
    </row>
    <row r="399" spans="7:7" x14ac:dyDescent="0.3">
      <c r="G399" s="98"/>
    </row>
    <row r="400" spans="7:7" x14ac:dyDescent="0.3">
      <c r="G400" s="98"/>
    </row>
    <row r="401" spans="7:7" x14ac:dyDescent="0.3">
      <c r="G401" s="98"/>
    </row>
    <row r="402" spans="7:7" x14ac:dyDescent="0.3">
      <c r="G402" s="98"/>
    </row>
    <row r="403" spans="7:7" x14ac:dyDescent="0.3">
      <c r="G403" s="98"/>
    </row>
    <row r="404" spans="7:7" x14ac:dyDescent="0.3">
      <c r="G404" s="98"/>
    </row>
    <row r="405" spans="7:7" x14ac:dyDescent="0.3">
      <c r="G405" s="98"/>
    </row>
    <row r="406" spans="7:7" x14ac:dyDescent="0.3">
      <c r="G406" s="98"/>
    </row>
    <row r="407" spans="7:7" x14ac:dyDescent="0.3">
      <c r="G407" s="98"/>
    </row>
    <row r="408" spans="7:7" x14ac:dyDescent="0.3">
      <c r="G408" s="98"/>
    </row>
    <row r="409" spans="7:7" x14ac:dyDescent="0.3">
      <c r="G409" s="98"/>
    </row>
    <row r="410" spans="7:7" x14ac:dyDescent="0.3">
      <c r="G410" s="98"/>
    </row>
    <row r="411" spans="7:7" x14ac:dyDescent="0.3">
      <c r="G411" s="98"/>
    </row>
    <row r="412" spans="7:7" x14ac:dyDescent="0.3">
      <c r="G412" s="98"/>
    </row>
    <row r="413" spans="7:7" x14ac:dyDescent="0.3">
      <c r="G413" s="98"/>
    </row>
    <row r="414" spans="7:7" x14ac:dyDescent="0.3">
      <c r="G414" s="98"/>
    </row>
    <row r="415" spans="7:7" x14ac:dyDescent="0.3">
      <c r="G415" s="98"/>
    </row>
    <row r="416" spans="7:7" x14ac:dyDescent="0.3">
      <c r="G416" s="98"/>
    </row>
    <row r="417" spans="7:7" x14ac:dyDescent="0.3">
      <c r="G417" s="98"/>
    </row>
    <row r="418" spans="7:7" x14ac:dyDescent="0.3">
      <c r="G418" s="98"/>
    </row>
    <row r="419" spans="7:7" x14ac:dyDescent="0.3">
      <c r="G419" s="98"/>
    </row>
    <row r="420" spans="7:7" x14ac:dyDescent="0.3">
      <c r="G420" s="98"/>
    </row>
    <row r="421" spans="7:7" x14ac:dyDescent="0.3">
      <c r="G421" s="98"/>
    </row>
    <row r="422" spans="7:7" x14ac:dyDescent="0.3">
      <c r="G422" s="98"/>
    </row>
    <row r="423" spans="7:7" x14ac:dyDescent="0.3">
      <c r="G423" s="98"/>
    </row>
    <row r="424" spans="7:7" x14ac:dyDescent="0.3">
      <c r="G424" s="98"/>
    </row>
    <row r="425" spans="7:7" x14ac:dyDescent="0.3">
      <c r="G425" s="98"/>
    </row>
    <row r="426" spans="7:7" x14ac:dyDescent="0.3">
      <c r="G426" s="98"/>
    </row>
    <row r="427" spans="7:7" x14ac:dyDescent="0.3">
      <c r="G427" s="98"/>
    </row>
    <row r="428" spans="7:7" x14ac:dyDescent="0.3">
      <c r="G428" s="98"/>
    </row>
    <row r="429" spans="7:7" x14ac:dyDescent="0.3">
      <c r="G429" s="98"/>
    </row>
    <row r="430" spans="7:7" x14ac:dyDescent="0.3">
      <c r="G430" s="98"/>
    </row>
    <row r="431" spans="7:7" x14ac:dyDescent="0.3">
      <c r="G431" s="98"/>
    </row>
    <row r="432" spans="7:7" x14ac:dyDescent="0.3">
      <c r="G432" s="98"/>
    </row>
    <row r="433" spans="7:7" x14ac:dyDescent="0.3">
      <c r="G433" s="98"/>
    </row>
    <row r="434" spans="7:7" x14ac:dyDescent="0.3">
      <c r="G434" s="98"/>
    </row>
    <row r="435" spans="7:7" x14ac:dyDescent="0.3">
      <c r="G435" s="98"/>
    </row>
    <row r="436" spans="7:7" x14ac:dyDescent="0.3">
      <c r="G436" s="98"/>
    </row>
    <row r="437" spans="7:7" x14ac:dyDescent="0.3">
      <c r="G437" s="98"/>
    </row>
    <row r="438" spans="7:7" x14ac:dyDescent="0.3">
      <c r="G438" s="98"/>
    </row>
    <row r="439" spans="7:7" x14ac:dyDescent="0.3">
      <c r="G439" s="98"/>
    </row>
    <row r="440" spans="7:7" x14ac:dyDescent="0.3">
      <c r="G440" s="98"/>
    </row>
    <row r="441" spans="7:7" x14ac:dyDescent="0.3">
      <c r="G441" s="98"/>
    </row>
    <row r="442" spans="7:7" x14ac:dyDescent="0.3">
      <c r="G442" s="98"/>
    </row>
    <row r="443" spans="7:7" x14ac:dyDescent="0.3">
      <c r="G443" s="98"/>
    </row>
    <row r="444" spans="7:7" x14ac:dyDescent="0.3">
      <c r="G444" s="98"/>
    </row>
    <row r="445" spans="7:7" x14ac:dyDescent="0.3">
      <c r="G445" s="98"/>
    </row>
    <row r="446" spans="7:7" x14ac:dyDescent="0.3">
      <c r="G446" s="98"/>
    </row>
    <row r="447" spans="7:7" x14ac:dyDescent="0.3">
      <c r="G447" s="98"/>
    </row>
    <row r="448" spans="7:7" x14ac:dyDescent="0.3">
      <c r="G448" s="98"/>
    </row>
    <row r="449" spans="7:7" x14ac:dyDescent="0.3">
      <c r="G449" s="98"/>
    </row>
    <row r="450" spans="7:7" x14ac:dyDescent="0.3">
      <c r="G450" s="98"/>
    </row>
    <row r="451" spans="7:7" x14ac:dyDescent="0.3">
      <c r="G451" s="98"/>
    </row>
    <row r="452" spans="7:7" x14ac:dyDescent="0.3">
      <c r="G452" s="98"/>
    </row>
    <row r="453" spans="7:7" x14ac:dyDescent="0.3">
      <c r="G453" s="98"/>
    </row>
    <row r="454" spans="7:7" x14ac:dyDescent="0.3">
      <c r="G454" s="98"/>
    </row>
    <row r="455" spans="7:7" x14ac:dyDescent="0.3">
      <c r="G455" s="98"/>
    </row>
    <row r="456" spans="7:7" x14ac:dyDescent="0.3">
      <c r="G456" s="98"/>
    </row>
    <row r="457" spans="7:7" x14ac:dyDescent="0.3">
      <c r="G457" s="98"/>
    </row>
    <row r="458" spans="7:7" x14ac:dyDescent="0.3">
      <c r="G458" s="98"/>
    </row>
    <row r="459" spans="7:7" x14ac:dyDescent="0.3">
      <c r="G459" s="98"/>
    </row>
    <row r="460" spans="7:7" x14ac:dyDescent="0.3">
      <c r="G460" s="98"/>
    </row>
    <row r="461" spans="7:7" x14ac:dyDescent="0.3">
      <c r="G461" s="98"/>
    </row>
    <row r="462" spans="7:7" x14ac:dyDescent="0.3">
      <c r="G462" s="98"/>
    </row>
    <row r="463" spans="7:7" x14ac:dyDescent="0.3">
      <c r="G463" s="98"/>
    </row>
    <row r="464" spans="7:7" x14ac:dyDescent="0.3">
      <c r="G464" s="98"/>
    </row>
    <row r="465" spans="7:7" x14ac:dyDescent="0.3">
      <c r="G465" s="98"/>
    </row>
    <row r="466" spans="7:7" x14ac:dyDescent="0.3">
      <c r="G466" s="98"/>
    </row>
    <row r="467" spans="7:7" x14ac:dyDescent="0.3">
      <c r="G467" s="98"/>
    </row>
    <row r="468" spans="7:7" x14ac:dyDescent="0.3">
      <c r="G468" s="98"/>
    </row>
    <row r="469" spans="7:7" x14ac:dyDescent="0.3">
      <c r="G469" s="98"/>
    </row>
    <row r="470" spans="7:7" x14ac:dyDescent="0.3">
      <c r="G470" s="98"/>
    </row>
    <row r="471" spans="7:7" x14ac:dyDescent="0.3">
      <c r="G471" s="98"/>
    </row>
    <row r="472" spans="7:7" x14ac:dyDescent="0.3">
      <c r="G472" s="98"/>
    </row>
    <row r="473" spans="7:7" x14ac:dyDescent="0.3">
      <c r="G473" s="98"/>
    </row>
    <row r="474" spans="7:7" x14ac:dyDescent="0.3">
      <c r="G474" s="98"/>
    </row>
    <row r="475" spans="7:7" x14ac:dyDescent="0.3">
      <c r="G475" s="98"/>
    </row>
    <row r="476" spans="7:7" x14ac:dyDescent="0.3">
      <c r="G476" s="98"/>
    </row>
    <row r="477" spans="7:7" x14ac:dyDescent="0.3">
      <c r="G477" s="98"/>
    </row>
    <row r="478" spans="7:7" x14ac:dyDescent="0.3">
      <c r="G478" s="98"/>
    </row>
    <row r="479" spans="7:7" x14ac:dyDescent="0.3">
      <c r="G479" s="98"/>
    </row>
    <row r="480" spans="7:7" x14ac:dyDescent="0.3">
      <c r="G480" s="98"/>
    </row>
    <row r="481" spans="7:7" x14ac:dyDescent="0.3">
      <c r="G481" s="98"/>
    </row>
    <row r="482" spans="7:7" x14ac:dyDescent="0.3">
      <c r="G482" s="98"/>
    </row>
    <row r="483" spans="7:7" x14ac:dyDescent="0.3">
      <c r="G483" s="98"/>
    </row>
    <row r="484" spans="7:7" x14ac:dyDescent="0.3">
      <c r="G484" s="98"/>
    </row>
    <row r="485" spans="7:7" x14ac:dyDescent="0.3">
      <c r="G485" s="98"/>
    </row>
    <row r="486" spans="7:7" x14ac:dyDescent="0.3">
      <c r="G486" s="98"/>
    </row>
    <row r="487" spans="7:7" x14ac:dyDescent="0.3">
      <c r="G487" s="98"/>
    </row>
    <row r="488" spans="7:7" x14ac:dyDescent="0.3">
      <c r="G488" s="98"/>
    </row>
    <row r="489" spans="7:7" x14ac:dyDescent="0.3">
      <c r="G489" s="98"/>
    </row>
    <row r="490" spans="7:7" x14ac:dyDescent="0.3">
      <c r="G490" s="98"/>
    </row>
    <row r="491" spans="7:7" x14ac:dyDescent="0.3">
      <c r="G491" s="98"/>
    </row>
    <row r="492" spans="7:7" x14ac:dyDescent="0.3">
      <c r="G492" s="98"/>
    </row>
    <row r="493" spans="7:7" x14ac:dyDescent="0.3">
      <c r="G493" s="98"/>
    </row>
    <row r="494" spans="7:7" x14ac:dyDescent="0.3">
      <c r="G494" s="98"/>
    </row>
    <row r="495" spans="7:7" x14ac:dyDescent="0.3">
      <c r="G495" s="98"/>
    </row>
    <row r="496" spans="7:7" x14ac:dyDescent="0.3">
      <c r="G496" s="98"/>
    </row>
    <row r="497" spans="7:7" x14ac:dyDescent="0.3">
      <c r="G497" s="98"/>
    </row>
    <row r="498" spans="7:7" x14ac:dyDescent="0.3">
      <c r="G498" s="98"/>
    </row>
    <row r="499" spans="7:7" x14ac:dyDescent="0.3">
      <c r="G499" s="98"/>
    </row>
    <row r="500" spans="7:7" x14ac:dyDescent="0.3">
      <c r="G500" s="98"/>
    </row>
    <row r="501" spans="7:7" x14ac:dyDescent="0.3">
      <c r="G501" s="98"/>
    </row>
    <row r="502" spans="7:7" x14ac:dyDescent="0.3">
      <c r="G502" s="98"/>
    </row>
    <row r="503" spans="7:7" x14ac:dyDescent="0.3">
      <c r="G503" s="98"/>
    </row>
    <row r="504" spans="7:7" x14ac:dyDescent="0.3">
      <c r="G504" s="98"/>
    </row>
    <row r="505" spans="7:7" x14ac:dyDescent="0.3">
      <c r="G505" s="98"/>
    </row>
    <row r="506" spans="7:7" x14ac:dyDescent="0.3">
      <c r="G506" s="98"/>
    </row>
    <row r="507" spans="7:7" x14ac:dyDescent="0.3">
      <c r="G507" s="98"/>
    </row>
    <row r="508" spans="7:7" x14ac:dyDescent="0.3">
      <c r="G508" s="98"/>
    </row>
    <row r="509" spans="7:7" x14ac:dyDescent="0.3">
      <c r="G509" s="98"/>
    </row>
    <row r="510" spans="7:7" x14ac:dyDescent="0.3">
      <c r="G510" s="98"/>
    </row>
    <row r="511" spans="7:7" x14ac:dyDescent="0.3">
      <c r="G511" s="98"/>
    </row>
    <row r="512" spans="7:7" x14ac:dyDescent="0.3">
      <c r="G512" s="98"/>
    </row>
    <row r="513" spans="7:7" x14ac:dyDescent="0.3">
      <c r="G513" s="98"/>
    </row>
    <row r="514" spans="7:7" x14ac:dyDescent="0.3">
      <c r="G514" s="98"/>
    </row>
    <row r="515" spans="7:7" x14ac:dyDescent="0.3">
      <c r="G515" s="98"/>
    </row>
    <row r="516" spans="7:7" x14ac:dyDescent="0.3">
      <c r="G516" s="98"/>
    </row>
    <row r="517" spans="7:7" x14ac:dyDescent="0.3">
      <c r="G517" s="98"/>
    </row>
    <row r="518" spans="7:7" x14ac:dyDescent="0.3">
      <c r="G518" s="98"/>
    </row>
    <row r="519" spans="7:7" x14ac:dyDescent="0.3">
      <c r="G519" s="98"/>
    </row>
    <row r="520" spans="7:7" x14ac:dyDescent="0.3">
      <c r="G520" s="98"/>
    </row>
    <row r="521" spans="7:7" x14ac:dyDescent="0.3">
      <c r="G521" s="98"/>
    </row>
    <row r="522" spans="7:7" x14ac:dyDescent="0.3">
      <c r="G522" s="98"/>
    </row>
    <row r="523" spans="7:7" x14ac:dyDescent="0.3">
      <c r="G523" s="98"/>
    </row>
    <row r="524" spans="7:7" x14ac:dyDescent="0.3">
      <c r="G524" s="98"/>
    </row>
    <row r="525" spans="7:7" x14ac:dyDescent="0.3">
      <c r="G525" s="98"/>
    </row>
    <row r="526" spans="7:7" x14ac:dyDescent="0.3">
      <c r="G526" s="98"/>
    </row>
    <row r="527" spans="7:7" x14ac:dyDescent="0.3">
      <c r="G527" s="98"/>
    </row>
    <row r="528" spans="7:7" x14ac:dyDescent="0.3">
      <c r="G528" s="98"/>
    </row>
    <row r="529" spans="7:7" x14ac:dyDescent="0.3">
      <c r="G529" s="98"/>
    </row>
    <row r="530" spans="7:7" x14ac:dyDescent="0.3">
      <c r="G530" s="98"/>
    </row>
    <row r="531" spans="7:7" x14ac:dyDescent="0.3">
      <c r="G531" s="98"/>
    </row>
    <row r="532" spans="7:7" x14ac:dyDescent="0.3">
      <c r="G532" s="98"/>
    </row>
    <row r="533" spans="7:7" x14ac:dyDescent="0.3">
      <c r="G533" s="98"/>
    </row>
    <row r="534" spans="7:7" x14ac:dyDescent="0.3">
      <c r="G534" s="98"/>
    </row>
    <row r="535" spans="7:7" x14ac:dyDescent="0.3">
      <c r="G535" s="98"/>
    </row>
    <row r="536" spans="7:7" x14ac:dyDescent="0.3">
      <c r="G536" s="98"/>
    </row>
    <row r="537" spans="7:7" x14ac:dyDescent="0.3">
      <c r="G537" s="98"/>
    </row>
    <row r="538" spans="7:7" x14ac:dyDescent="0.3">
      <c r="G538" s="98"/>
    </row>
    <row r="539" spans="7:7" x14ac:dyDescent="0.3">
      <c r="G539" s="98"/>
    </row>
    <row r="540" spans="7:7" x14ac:dyDescent="0.3">
      <c r="G540" s="98"/>
    </row>
    <row r="541" spans="7:7" x14ac:dyDescent="0.3">
      <c r="G541" s="98"/>
    </row>
    <row r="542" spans="7:7" x14ac:dyDescent="0.3">
      <c r="G542" s="98"/>
    </row>
    <row r="543" spans="7:7" x14ac:dyDescent="0.3">
      <c r="G543" s="98"/>
    </row>
    <row r="544" spans="7:7" x14ac:dyDescent="0.3">
      <c r="G544" s="98"/>
    </row>
    <row r="545" spans="7:7" x14ac:dyDescent="0.3">
      <c r="G545" s="98"/>
    </row>
    <row r="546" spans="7:7" x14ac:dyDescent="0.3">
      <c r="G546" s="98"/>
    </row>
    <row r="547" spans="7:7" x14ac:dyDescent="0.3">
      <c r="G547" s="98"/>
    </row>
    <row r="548" spans="7:7" x14ac:dyDescent="0.3">
      <c r="G548" s="98"/>
    </row>
    <row r="549" spans="7:7" x14ac:dyDescent="0.3">
      <c r="G549" s="98"/>
    </row>
    <row r="550" spans="7:7" x14ac:dyDescent="0.3">
      <c r="G550" s="98"/>
    </row>
    <row r="551" spans="7:7" x14ac:dyDescent="0.3">
      <c r="G551" s="98"/>
    </row>
    <row r="552" spans="7:7" x14ac:dyDescent="0.3">
      <c r="G552" s="98"/>
    </row>
    <row r="553" spans="7:7" x14ac:dyDescent="0.3">
      <c r="G553" s="98"/>
    </row>
    <row r="554" spans="7:7" x14ac:dyDescent="0.3">
      <c r="G554" s="98"/>
    </row>
    <row r="555" spans="7:7" x14ac:dyDescent="0.3">
      <c r="G555" s="98"/>
    </row>
    <row r="556" spans="7:7" x14ac:dyDescent="0.3">
      <c r="G556" s="98"/>
    </row>
    <row r="557" spans="7:7" x14ac:dyDescent="0.3">
      <c r="G557" s="98"/>
    </row>
    <row r="558" spans="7:7" x14ac:dyDescent="0.3">
      <c r="G558" s="98"/>
    </row>
    <row r="559" spans="7:7" x14ac:dyDescent="0.3">
      <c r="G559" s="98"/>
    </row>
    <row r="560" spans="7:7" x14ac:dyDescent="0.3">
      <c r="G560" s="98"/>
    </row>
    <row r="561" spans="7:7" x14ac:dyDescent="0.3">
      <c r="G561" s="98"/>
    </row>
    <row r="562" spans="7:7" x14ac:dyDescent="0.3">
      <c r="G562" s="98"/>
    </row>
    <row r="563" spans="7:7" x14ac:dyDescent="0.3">
      <c r="G563" s="98"/>
    </row>
    <row r="564" spans="7:7" x14ac:dyDescent="0.3">
      <c r="G564" s="98"/>
    </row>
    <row r="565" spans="7:7" x14ac:dyDescent="0.3">
      <c r="G565" s="98"/>
    </row>
    <row r="566" spans="7:7" x14ac:dyDescent="0.3">
      <c r="G566" s="98"/>
    </row>
    <row r="567" spans="7:7" x14ac:dyDescent="0.3">
      <c r="G567" s="98"/>
    </row>
    <row r="568" spans="7:7" x14ac:dyDescent="0.3">
      <c r="G568" s="98"/>
    </row>
    <row r="569" spans="7:7" x14ac:dyDescent="0.3">
      <c r="G569" s="98"/>
    </row>
    <row r="570" spans="7:7" x14ac:dyDescent="0.3">
      <c r="G570" s="98"/>
    </row>
    <row r="571" spans="7:7" x14ac:dyDescent="0.3">
      <c r="G571" s="98"/>
    </row>
    <row r="572" spans="7:7" x14ac:dyDescent="0.3">
      <c r="G572" s="98"/>
    </row>
    <row r="573" spans="7:7" x14ac:dyDescent="0.3">
      <c r="G573" s="98"/>
    </row>
    <row r="574" spans="7:7" x14ac:dyDescent="0.3">
      <c r="G574" s="98"/>
    </row>
    <row r="575" spans="7:7" x14ac:dyDescent="0.3">
      <c r="G575" s="98"/>
    </row>
    <row r="576" spans="7:7" x14ac:dyDescent="0.3">
      <c r="G576" s="98"/>
    </row>
    <row r="577" spans="7:7" x14ac:dyDescent="0.3">
      <c r="G577" s="98"/>
    </row>
    <row r="578" spans="7:7" x14ac:dyDescent="0.3">
      <c r="G578" s="98"/>
    </row>
    <row r="579" spans="7:7" x14ac:dyDescent="0.3">
      <c r="G579" s="98"/>
    </row>
    <row r="580" spans="7:7" x14ac:dyDescent="0.3">
      <c r="G580" s="98"/>
    </row>
    <row r="581" spans="7:7" x14ac:dyDescent="0.3">
      <c r="G581" s="98"/>
    </row>
    <row r="582" spans="7:7" x14ac:dyDescent="0.3">
      <c r="G582" s="98"/>
    </row>
    <row r="583" spans="7:7" x14ac:dyDescent="0.3">
      <c r="G583" s="98"/>
    </row>
    <row r="584" spans="7:7" x14ac:dyDescent="0.3">
      <c r="G584" s="98"/>
    </row>
    <row r="585" spans="7:7" x14ac:dyDescent="0.3">
      <c r="G585" s="98"/>
    </row>
    <row r="586" spans="7:7" x14ac:dyDescent="0.3">
      <c r="G586" s="98"/>
    </row>
    <row r="587" spans="7:7" x14ac:dyDescent="0.3">
      <c r="G587" s="98"/>
    </row>
    <row r="588" spans="7:7" x14ac:dyDescent="0.3">
      <c r="G588" s="98"/>
    </row>
    <row r="589" spans="7:7" x14ac:dyDescent="0.3">
      <c r="G589" s="98"/>
    </row>
    <row r="590" spans="7:7" x14ac:dyDescent="0.3">
      <c r="G590" s="98"/>
    </row>
    <row r="591" spans="7:7" x14ac:dyDescent="0.3">
      <c r="G591" s="98"/>
    </row>
    <row r="592" spans="7:7" x14ac:dyDescent="0.3">
      <c r="G592" s="98"/>
    </row>
    <row r="593" spans="7:7" x14ac:dyDescent="0.3">
      <c r="G593" s="98"/>
    </row>
    <row r="594" spans="7:7" x14ac:dyDescent="0.3">
      <c r="G594" s="98"/>
    </row>
    <row r="595" spans="7:7" x14ac:dyDescent="0.3">
      <c r="G595" s="98"/>
    </row>
    <row r="596" spans="7:7" x14ac:dyDescent="0.3">
      <c r="G596" s="98"/>
    </row>
    <row r="597" spans="7:7" x14ac:dyDescent="0.3">
      <c r="G597" s="98"/>
    </row>
    <row r="598" spans="7:7" x14ac:dyDescent="0.3">
      <c r="G598" s="98"/>
    </row>
    <row r="599" spans="7:7" x14ac:dyDescent="0.3">
      <c r="G599" s="98"/>
    </row>
    <row r="600" spans="7:7" x14ac:dyDescent="0.3">
      <c r="G600" s="98"/>
    </row>
    <row r="601" spans="7:7" x14ac:dyDescent="0.3">
      <c r="G601" s="98"/>
    </row>
    <row r="602" spans="7:7" x14ac:dyDescent="0.3">
      <c r="G602" s="98"/>
    </row>
    <row r="603" spans="7:7" x14ac:dyDescent="0.3">
      <c r="G603" s="98"/>
    </row>
    <row r="604" spans="7:7" x14ac:dyDescent="0.3">
      <c r="G604" s="98"/>
    </row>
    <row r="605" spans="7:7" x14ac:dyDescent="0.3">
      <c r="G605" s="98"/>
    </row>
    <row r="606" spans="7:7" x14ac:dyDescent="0.3">
      <c r="G606" s="98"/>
    </row>
    <row r="607" spans="7:7" x14ac:dyDescent="0.3">
      <c r="G607" s="98"/>
    </row>
    <row r="608" spans="7:7" x14ac:dyDescent="0.3">
      <c r="G608" s="98"/>
    </row>
    <row r="609" spans="7:7" x14ac:dyDescent="0.3">
      <c r="G609" s="98"/>
    </row>
    <row r="610" spans="7:7" x14ac:dyDescent="0.3">
      <c r="G610" s="98"/>
    </row>
    <row r="611" spans="7:7" x14ac:dyDescent="0.3">
      <c r="G611" s="98"/>
    </row>
    <row r="612" spans="7:7" x14ac:dyDescent="0.3">
      <c r="G612" s="98"/>
    </row>
    <row r="613" spans="7:7" x14ac:dyDescent="0.3">
      <c r="G613" s="98"/>
    </row>
    <row r="614" spans="7:7" x14ac:dyDescent="0.3">
      <c r="G614" s="98"/>
    </row>
    <row r="615" spans="7:7" x14ac:dyDescent="0.3">
      <c r="G615" s="98"/>
    </row>
    <row r="616" spans="7:7" x14ac:dyDescent="0.3">
      <c r="G616" s="98"/>
    </row>
    <row r="617" spans="7:7" x14ac:dyDescent="0.3">
      <c r="G617" s="98"/>
    </row>
    <row r="618" spans="7:7" x14ac:dyDescent="0.3">
      <c r="G618" s="98"/>
    </row>
    <row r="619" spans="7:7" x14ac:dyDescent="0.3">
      <c r="G619" s="98"/>
    </row>
    <row r="620" spans="7:7" x14ac:dyDescent="0.3">
      <c r="G620" s="98"/>
    </row>
    <row r="621" spans="7:7" x14ac:dyDescent="0.3">
      <c r="G621" s="98"/>
    </row>
    <row r="622" spans="7:7" x14ac:dyDescent="0.3">
      <c r="G622" s="98"/>
    </row>
    <row r="623" spans="7:7" x14ac:dyDescent="0.3">
      <c r="G623" s="98"/>
    </row>
    <row r="624" spans="7:7" x14ac:dyDescent="0.3">
      <c r="G624" s="98"/>
    </row>
    <row r="625" spans="7:7" x14ac:dyDescent="0.3">
      <c r="G625" s="98"/>
    </row>
    <row r="626" spans="7:7" x14ac:dyDescent="0.3">
      <c r="G626" s="98"/>
    </row>
    <row r="627" spans="7:7" x14ac:dyDescent="0.3">
      <c r="G627" s="98"/>
    </row>
    <row r="628" spans="7:7" x14ac:dyDescent="0.3">
      <c r="G628" s="98"/>
    </row>
    <row r="629" spans="7:7" x14ac:dyDescent="0.3">
      <c r="G629" s="98"/>
    </row>
    <row r="630" spans="7:7" x14ac:dyDescent="0.3">
      <c r="G630" s="98"/>
    </row>
    <row r="631" spans="7:7" x14ac:dyDescent="0.3">
      <c r="G631" s="98"/>
    </row>
    <row r="632" spans="7:7" x14ac:dyDescent="0.3">
      <c r="G632" s="98"/>
    </row>
    <row r="633" spans="7:7" x14ac:dyDescent="0.3">
      <c r="G633" s="98"/>
    </row>
    <row r="634" spans="7:7" x14ac:dyDescent="0.3">
      <c r="G634" s="98"/>
    </row>
    <row r="635" spans="7:7" x14ac:dyDescent="0.3">
      <c r="G635" s="98"/>
    </row>
    <row r="636" spans="7:7" x14ac:dyDescent="0.3">
      <c r="G636" s="98"/>
    </row>
    <row r="637" spans="7:7" x14ac:dyDescent="0.3">
      <c r="G637" s="98"/>
    </row>
    <row r="638" spans="7:7" x14ac:dyDescent="0.3">
      <c r="G638" s="98"/>
    </row>
    <row r="639" spans="7:7" x14ac:dyDescent="0.3">
      <c r="G639" s="98"/>
    </row>
    <row r="640" spans="7:7" x14ac:dyDescent="0.3">
      <c r="G640" s="98"/>
    </row>
    <row r="641" spans="7:7" x14ac:dyDescent="0.3">
      <c r="G641" s="98"/>
    </row>
    <row r="642" spans="7:7" x14ac:dyDescent="0.3">
      <c r="G642" s="98"/>
    </row>
    <row r="643" spans="7:7" x14ac:dyDescent="0.3">
      <c r="G643" s="98"/>
    </row>
    <row r="644" spans="7:7" x14ac:dyDescent="0.3">
      <c r="G644" s="98"/>
    </row>
    <row r="645" spans="7:7" x14ac:dyDescent="0.3">
      <c r="G645" s="98"/>
    </row>
    <row r="646" spans="7:7" x14ac:dyDescent="0.3">
      <c r="G646" s="98"/>
    </row>
    <row r="647" spans="7:7" x14ac:dyDescent="0.3">
      <c r="G647" s="98"/>
    </row>
    <row r="648" spans="7:7" x14ac:dyDescent="0.3">
      <c r="G648" s="98"/>
    </row>
    <row r="649" spans="7:7" x14ac:dyDescent="0.3">
      <c r="G649" s="98"/>
    </row>
    <row r="650" spans="7:7" x14ac:dyDescent="0.3">
      <c r="G650" s="98"/>
    </row>
    <row r="651" spans="7:7" x14ac:dyDescent="0.3">
      <c r="G651" s="98"/>
    </row>
    <row r="652" spans="7:7" x14ac:dyDescent="0.3">
      <c r="G652" s="98"/>
    </row>
    <row r="653" spans="7:7" x14ac:dyDescent="0.3">
      <c r="G653" s="98"/>
    </row>
    <row r="654" spans="7:7" x14ac:dyDescent="0.3">
      <c r="G654" s="98"/>
    </row>
    <row r="655" spans="7:7" x14ac:dyDescent="0.3">
      <c r="G655" s="98"/>
    </row>
    <row r="656" spans="7:7" x14ac:dyDescent="0.3">
      <c r="G656" s="98"/>
    </row>
    <row r="657" spans="7:7" x14ac:dyDescent="0.3">
      <c r="G657" s="98"/>
    </row>
    <row r="658" spans="7:7" x14ac:dyDescent="0.3">
      <c r="G658" s="98"/>
    </row>
    <row r="659" spans="7:7" x14ac:dyDescent="0.3">
      <c r="G659" s="98"/>
    </row>
    <row r="660" spans="7:7" x14ac:dyDescent="0.3">
      <c r="G660" s="98"/>
    </row>
    <row r="661" spans="7:7" x14ac:dyDescent="0.3">
      <c r="G661" s="98"/>
    </row>
    <row r="662" spans="7:7" x14ac:dyDescent="0.3">
      <c r="G662" s="98"/>
    </row>
    <row r="663" spans="7:7" x14ac:dyDescent="0.3">
      <c r="G663" s="98"/>
    </row>
    <row r="664" spans="7:7" x14ac:dyDescent="0.3">
      <c r="G664" s="98"/>
    </row>
    <row r="665" spans="7:7" x14ac:dyDescent="0.3">
      <c r="G665" s="98"/>
    </row>
    <row r="666" spans="7:7" x14ac:dyDescent="0.3">
      <c r="G666" s="98"/>
    </row>
    <row r="667" spans="7:7" x14ac:dyDescent="0.3">
      <c r="G667" s="98"/>
    </row>
    <row r="668" spans="7:7" x14ac:dyDescent="0.3">
      <c r="G668" s="98"/>
    </row>
    <row r="669" spans="7:7" x14ac:dyDescent="0.3">
      <c r="G669" s="98"/>
    </row>
    <row r="670" spans="7:7" x14ac:dyDescent="0.3">
      <c r="G670" s="98"/>
    </row>
    <row r="671" spans="7:7" x14ac:dyDescent="0.3">
      <c r="G671" s="98"/>
    </row>
    <row r="672" spans="7:7" x14ac:dyDescent="0.3">
      <c r="G672" s="98"/>
    </row>
    <row r="673" spans="7:7" x14ac:dyDescent="0.3">
      <c r="G673" s="98"/>
    </row>
    <row r="674" spans="7:7" x14ac:dyDescent="0.3">
      <c r="G674" s="98"/>
    </row>
    <row r="675" spans="7:7" x14ac:dyDescent="0.3">
      <c r="G675" s="98"/>
    </row>
    <row r="676" spans="7:7" x14ac:dyDescent="0.3">
      <c r="G676" s="98"/>
    </row>
    <row r="677" spans="7:7" x14ac:dyDescent="0.3">
      <c r="G677" s="98"/>
    </row>
    <row r="678" spans="7:7" x14ac:dyDescent="0.3">
      <c r="G678" s="98"/>
    </row>
    <row r="679" spans="7:7" x14ac:dyDescent="0.3">
      <c r="G679" s="98"/>
    </row>
    <row r="680" spans="7:7" x14ac:dyDescent="0.3">
      <c r="G680" s="98"/>
    </row>
    <row r="681" spans="7:7" x14ac:dyDescent="0.3">
      <c r="G681" s="98"/>
    </row>
    <row r="682" spans="7:7" x14ac:dyDescent="0.3">
      <c r="G682" s="98"/>
    </row>
    <row r="683" spans="7:7" x14ac:dyDescent="0.3">
      <c r="G683" s="98"/>
    </row>
    <row r="684" spans="7:7" x14ac:dyDescent="0.3">
      <c r="G684" s="98"/>
    </row>
    <row r="685" spans="7:7" x14ac:dyDescent="0.3">
      <c r="G685" s="98"/>
    </row>
    <row r="686" spans="7:7" x14ac:dyDescent="0.3">
      <c r="G686" s="98"/>
    </row>
    <row r="687" spans="7:7" x14ac:dyDescent="0.3">
      <c r="G687" s="98"/>
    </row>
    <row r="688" spans="7:7" x14ac:dyDescent="0.3">
      <c r="G688" s="98"/>
    </row>
    <row r="689" spans="7:7" x14ac:dyDescent="0.3">
      <c r="G689" s="98"/>
    </row>
    <row r="690" spans="7:7" x14ac:dyDescent="0.3">
      <c r="G690" s="98"/>
    </row>
    <row r="691" spans="7:7" x14ac:dyDescent="0.3">
      <c r="G691" s="98"/>
    </row>
    <row r="692" spans="7:7" x14ac:dyDescent="0.3">
      <c r="G692" s="98"/>
    </row>
    <row r="693" spans="7:7" x14ac:dyDescent="0.3">
      <c r="G693" s="98"/>
    </row>
    <row r="694" spans="7:7" x14ac:dyDescent="0.3">
      <c r="G694" s="98"/>
    </row>
    <row r="695" spans="7:7" x14ac:dyDescent="0.3">
      <c r="G695" s="98"/>
    </row>
    <row r="696" spans="7:7" x14ac:dyDescent="0.3">
      <c r="G696" s="98"/>
    </row>
    <row r="697" spans="7:7" x14ac:dyDescent="0.3">
      <c r="G697" s="98"/>
    </row>
    <row r="698" spans="7:7" x14ac:dyDescent="0.3">
      <c r="G698" s="98"/>
    </row>
    <row r="699" spans="7:7" x14ac:dyDescent="0.3">
      <c r="G699" s="98"/>
    </row>
    <row r="700" spans="7:7" x14ac:dyDescent="0.3">
      <c r="G700" s="98"/>
    </row>
    <row r="701" spans="7:7" x14ac:dyDescent="0.3">
      <c r="G701" s="98"/>
    </row>
    <row r="702" spans="7:7" x14ac:dyDescent="0.3">
      <c r="G702" s="98"/>
    </row>
    <row r="703" spans="7:7" x14ac:dyDescent="0.3">
      <c r="G703" s="98"/>
    </row>
    <row r="704" spans="7:7" x14ac:dyDescent="0.3">
      <c r="G704" s="98"/>
    </row>
    <row r="705" spans="7:7" x14ac:dyDescent="0.3">
      <c r="G705" s="98"/>
    </row>
    <row r="706" spans="7:7" x14ac:dyDescent="0.3">
      <c r="G706" s="98"/>
    </row>
    <row r="707" spans="7:7" x14ac:dyDescent="0.3">
      <c r="G707" s="98"/>
    </row>
    <row r="708" spans="7:7" x14ac:dyDescent="0.3">
      <c r="G708" s="98"/>
    </row>
    <row r="709" spans="7:7" x14ac:dyDescent="0.3">
      <c r="G709" s="98"/>
    </row>
    <row r="710" spans="7:7" x14ac:dyDescent="0.3">
      <c r="G710" s="98"/>
    </row>
    <row r="711" spans="7:7" x14ac:dyDescent="0.3">
      <c r="G711" s="98"/>
    </row>
    <row r="712" spans="7:7" x14ac:dyDescent="0.3">
      <c r="G712" s="98"/>
    </row>
    <row r="713" spans="7:7" x14ac:dyDescent="0.3">
      <c r="G713" s="98"/>
    </row>
    <row r="714" spans="7:7" x14ac:dyDescent="0.3">
      <c r="G714" s="98"/>
    </row>
    <row r="715" spans="7:7" x14ac:dyDescent="0.3">
      <c r="G715" s="98"/>
    </row>
    <row r="716" spans="7:7" x14ac:dyDescent="0.3">
      <c r="G716" s="98"/>
    </row>
    <row r="717" spans="7:7" x14ac:dyDescent="0.3">
      <c r="G717" s="98"/>
    </row>
    <row r="718" spans="7:7" x14ac:dyDescent="0.3">
      <c r="G718" s="98"/>
    </row>
    <row r="719" spans="7:7" x14ac:dyDescent="0.3">
      <c r="G719" s="98"/>
    </row>
    <row r="720" spans="7:7" x14ac:dyDescent="0.3">
      <c r="G720" s="98"/>
    </row>
    <row r="721" spans="7:7" x14ac:dyDescent="0.3">
      <c r="G721" s="98"/>
    </row>
    <row r="722" spans="7:7" x14ac:dyDescent="0.3">
      <c r="G722" s="98"/>
    </row>
    <row r="723" spans="7:7" x14ac:dyDescent="0.3">
      <c r="G723" s="98"/>
    </row>
    <row r="724" spans="7:7" x14ac:dyDescent="0.3">
      <c r="G724" s="98"/>
    </row>
    <row r="725" spans="7:7" x14ac:dyDescent="0.3">
      <c r="G725" s="98"/>
    </row>
    <row r="726" spans="7:7" x14ac:dyDescent="0.3">
      <c r="G726" s="98"/>
    </row>
    <row r="727" spans="7:7" x14ac:dyDescent="0.3">
      <c r="G727" s="98"/>
    </row>
    <row r="728" spans="7:7" x14ac:dyDescent="0.3">
      <c r="G728" s="98"/>
    </row>
    <row r="729" spans="7:7" x14ac:dyDescent="0.3">
      <c r="G729" s="98"/>
    </row>
    <row r="730" spans="7:7" x14ac:dyDescent="0.3">
      <c r="G730" s="98"/>
    </row>
    <row r="731" spans="7:7" x14ac:dyDescent="0.3">
      <c r="G731" s="98"/>
    </row>
    <row r="732" spans="7:7" x14ac:dyDescent="0.3">
      <c r="G732" s="98"/>
    </row>
    <row r="733" spans="7:7" x14ac:dyDescent="0.3">
      <c r="G733" s="98"/>
    </row>
    <row r="734" spans="7:7" x14ac:dyDescent="0.3">
      <c r="G734" s="98"/>
    </row>
    <row r="735" spans="7:7" x14ac:dyDescent="0.3">
      <c r="G735" s="98"/>
    </row>
    <row r="736" spans="7:7" x14ac:dyDescent="0.3">
      <c r="G736" s="98"/>
    </row>
    <row r="737" spans="7:7" x14ac:dyDescent="0.3">
      <c r="G737" s="98"/>
    </row>
    <row r="738" spans="7:7" x14ac:dyDescent="0.3">
      <c r="G738" s="98"/>
    </row>
    <row r="739" spans="7:7" x14ac:dyDescent="0.3">
      <c r="G739" s="98"/>
    </row>
    <row r="740" spans="7:7" x14ac:dyDescent="0.3">
      <c r="G740" s="98"/>
    </row>
    <row r="741" spans="7:7" x14ac:dyDescent="0.3">
      <c r="G741" s="98"/>
    </row>
    <row r="742" spans="7:7" x14ac:dyDescent="0.3">
      <c r="G742" s="98"/>
    </row>
    <row r="743" spans="7:7" x14ac:dyDescent="0.3">
      <c r="G743" s="98"/>
    </row>
    <row r="744" spans="7:7" x14ac:dyDescent="0.3">
      <c r="G744" s="98"/>
    </row>
    <row r="745" spans="7:7" x14ac:dyDescent="0.3">
      <c r="G745" s="98"/>
    </row>
    <row r="746" spans="7:7" x14ac:dyDescent="0.3">
      <c r="G746" s="98"/>
    </row>
    <row r="747" spans="7:7" x14ac:dyDescent="0.3">
      <c r="G747" s="98"/>
    </row>
    <row r="748" spans="7:7" x14ac:dyDescent="0.3">
      <c r="G748" s="98"/>
    </row>
    <row r="749" spans="7:7" x14ac:dyDescent="0.3">
      <c r="G749" s="98"/>
    </row>
    <row r="750" spans="7:7" x14ac:dyDescent="0.3">
      <c r="G750" s="98"/>
    </row>
    <row r="751" spans="7:7" x14ac:dyDescent="0.3">
      <c r="G751" s="98"/>
    </row>
    <row r="752" spans="7:7" x14ac:dyDescent="0.3">
      <c r="G752" s="98"/>
    </row>
    <row r="753" spans="7:7" x14ac:dyDescent="0.3">
      <c r="G753" s="98"/>
    </row>
    <row r="754" spans="7:7" x14ac:dyDescent="0.3">
      <c r="G754" s="98"/>
    </row>
    <row r="755" spans="7:7" x14ac:dyDescent="0.3">
      <c r="G755" s="98"/>
    </row>
    <row r="756" spans="7:7" x14ac:dyDescent="0.3">
      <c r="G756" s="98"/>
    </row>
    <row r="757" spans="7:7" x14ac:dyDescent="0.3">
      <c r="G757" s="98"/>
    </row>
    <row r="758" spans="7:7" x14ac:dyDescent="0.3">
      <c r="G758" s="98"/>
    </row>
    <row r="759" spans="7:7" x14ac:dyDescent="0.3">
      <c r="G759" s="98"/>
    </row>
    <row r="760" spans="7:7" x14ac:dyDescent="0.3">
      <c r="G760" s="98"/>
    </row>
    <row r="761" spans="7:7" x14ac:dyDescent="0.3">
      <c r="G761" s="98"/>
    </row>
    <row r="762" spans="7:7" x14ac:dyDescent="0.3">
      <c r="G762" s="98"/>
    </row>
    <row r="763" spans="7:7" x14ac:dyDescent="0.3">
      <c r="G763" s="98"/>
    </row>
    <row r="764" spans="7:7" x14ac:dyDescent="0.3">
      <c r="G764" s="98"/>
    </row>
    <row r="765" spans="7:7" x14ac:dyDescent="0.3">
      <c r="G765" s="98"/>
    </row>
    <row r="766" spans="7:7" x14ac:dyDescent="0.3">
      <c r="G766" s="98"/>
    </row>
    <row r="767" spans="7:7" x14ac:dyDescent="0.3">
      <c r="G767" s="98"/>
    </row>
    <row r="768" spans="7:7" x14ac:dyDescent="0.3">
      <c r="G768" s="98"/>
    </row>
    <row r="769" spans="7:7" x14ac:dyDescent="0.3">
      <c r="G769" s="98"/>
    </row>
    <row r="770" spans="7:7" x14ac:dyDescent="0.3">
      <c r="G770" s="98"/>
    </row>
    <row r="771" spans="7:7" x14ac:dyDescent="0.3">
      <c r="G771" s="98"/>
    </row>
    <row r="772" spans="7:7" x14ac:dyDescent="0.3">
      <c r="G772" s="98"/>
    </row>
    <row r="773" spans="7:7" x14ac:dyDescent="0.3">
      <c r="G773" s="98"/>
    </row>
    <row r="774" spans="7:7" x14ac:dyDescent="0.3">
      <c r="G774" s="98"/>
    </row>
    <row r="775" spans="7:7" x14ac:dyDescent="0.3">
      <c r="G775" s="98"/>
    </row>
    <row r="776" spans="7:7" x14ac:dyDescent="0.3">
      <c r="G776" s="98"/>
    </row>
    <row r="777" spans="7:7" x14ac:dyDescent="0.3">
      <c r="G777" s="98"/>
    </row>
    <row r="778" spans="7:7" x14ac:dyDescent="0.3">
      <c r="G778" s="98"/>
    </row>
    <row r="779" spans="7:7" x14ac:dyDescent="0.3">
      <c r="G779" s="98"/>
    </row>
    <row r="780" spans="7:7" x14ac:dyDescent="0.3">
      <c r="G780" s="98"/>
    </row>
    <row r="781" spans="7:7" x14ac:dyDescent="0.3">
      <c r="G781" s="98"/>
    </row>
    <row r="782" spans="7:7" x14ac:dyDescent="0.3">
      <c r="G782" s="98"/>
    </row>
    <row r="783" spans="7:7" x14ac:dyDescent="0.3">
      <c r="G783" s="98"/>
    </row>
    <row r="784" spans="7:7" x14ac:dyDescent="0.3">
      <c r="G784" s="98"/>
    </row>
    <row r="785" spans="7:7" x14ac:dyDescent="0.3">
      <c r="G785" s="98"/>
    </row>
    <row r="786" spans="7:7" x14ac:dyDescent="0.3">
      <c r="G786" s="98"/>
    </row>
    <row r="787" spans="7:7" x14ac:dyDescent="0.3">
      <c r="G787" s="98"/>
    </row>
    <row r="788" spans="7:7" x14ac:dyDescent="0.3">
      <c r="G788" s="98"/>
    </row>
    <row r="789" spans="7:7" x14ac:dyDescent="0.3">
      <c r="G789" s="98"/>
    </row>
    <row r="790" spans="7:7" x14ac:dyDescent="0.3">
      <c r="G790" s="98"/>
    </row>
    <row r="791" spans="7:7" x14ac:dyDescent="0.3">
      <c r="G791" s="98"/>
    </row>
    <row r="792" spans="7:7" x14ac:dyDescent="0.3">
      <c r="G792" s="98"/>
    </row>
    <row r="793" spans="7:7" x14ac:dyDescent="0.3">
      <c r="G793" s="98"/>
    </row>
    <row r="794" spans="7:7" x14ac:dyDescent="0.3">
      <c r="G794" s="98"/>
    </row>
    <row r="795" spans="7:7" x14ac:dyDescent="0.3">
      <c r="G795" s="98"/>
    </row>
    <row r="796" spans="7:7" x14ac:dyDescent="0.3">
      <c r="G796" s="98"/>
    </row>
    <row r="797" spans="7:7" x14ac:dyDescent="0.3">
      <c r="G797" s="98"/>
    </row>
    <row r="798" spans="7:7" x14ac:dyDescent="0.3">
      <c r="G798" s="98"/>
    </row>
    <row r="799" spans="7:7" x14ac:dyDescent="0.3">
      <c r="G799" s="98"/>
    </row>
    <row r="800" spans="7:7" x14ac:dyDescent="0.3">
      <c r="G800" s="98"/>
    </row>
    <row r="801" spans="7:7" x14ac:dyDescent="0.3">
      <c r="G801" s="98"/>
    </row>
    <row r="802" spans="7:7" x14ac:dyDescent="0.3">
      <c r="G802" s="98"/>
    </row>
    <row r="803" spans="7:7" x14ac:dyDescent="0.3">
      <c r="G803" s="98"/>
    </row>
    <row r="804" spans="7:7" x14ac:dyDescent="0.3">
      <c r="G804" s="98"/>
    </row>
    <row r="805" spans="7:7" x14ac:dyDescent="0.3">
      <c r="G805" s="98"/>
    </row>
    <row r="806" spans="7:7" x14ac:dyDescent="0.3">
      <c r="G806" s="98"/>
    </row>
    <row r="807" spans="7:7" x14ac:dyDescent="0.3">
      <c r="G807" s="98"/>
    </row>
    <row r="808" spans="7:7" x14ac:dyDescent="0.3">
      <c r="G808" s="98"/>
    </row>
    <row r="809" spans="7:7" x14ac:dyDescent="0.3">
      <c r="G809" s="98"/>
    </row>
    <row r="810" spans="7:7" x14ac:dyDescent="0.3">
      <c r="G810" s="98"/>
    </row>
    <row r="811" spans="7:7" x14ac:dyDescent="0.3">
      <c r="G811" s="98"/>
    </row>
    <row r="812" spans="7:7" x14ac:dyDescent="0.3">
      <c r="G812" s="98"/>
    </row>
    <row r="813" spans="7:7" x14ac:dyDescent="0.3">
      <c r="G813" s="98"/>
    </row>
    <row r="814" spans="7:7" x14ac:dyDescent="0.3">
      <c r="G814" s="98"/>
    </row>
    <row r="815" spans="7:7" x14ac:dyDescent="0.3">
      <c r="G815" s="98"/>
    </row>
    <row r="816" spans="7:7" x14ac:dyDescent="0.3">
      <c r="G816" s="98"/>
    </row>
    <row r="817" spans="7:7" x14ac:dyDescent="0.3">
      <c r="G817" s="98"/>
    </row>
    <row r="818" spans="7:7" x14ac:dyDescent="0.3">
      <c r="G818" s="98"/>
    </row>
    <row r="819" spans="7:7" x14ac:dyDescent="0.3">
      <c r="G819" s="98"/>
    </row>
    <row r="820" spans="7:7" x14ac:dyDescent="0.3">
      <c r="G820" s="98"/>
    </row>
    <row r="821" spans="7:7" x14ac:dyDescent="0.3">
      <c r="G821" s="98"/>
    </row>
    <row r="822" spans="7:7" x14ac:dyDescent="0.3">
      <c r="G822" s="98"/>
    </row>
    <row r="823" spans="7:7" x14ac:dyDescent="0.3">
      <c r="G823" s="98"/>
    </row>
    <row r="824" spans="7:7" x14ac:dyDescent="0.3">
      <c r="G824" s="98"/>
    </row>
    <row r="825" spans="7:7" x14ac:dyDescent="0.3">
      <c r="G825" s="98"/>
    </row>
    <row r="826" spans="7:7" x14ac:dyDescent="0.3">
      <c r="G826" s="98"/>
    </row>
    <row r="827" spans="7:7" x14ac:dyDescent="0.3">
      <c r="G827" s="98"/>
    </row>
    <row r="828" spans="7:7" x14ac:dyDescent="0.3">
      <c r="G828" s="98"/>
    </row>
    <row r="829" spans="7:7" x14ac:dyDescent="0.3">
      <c r="G829" s="98"/>
    </row>
    <row r="830" spans="7:7" x14ac:dyDescent="0.3">
      <c r="G830" s="98"/>
    </row>
    <row r="831" spans="7:7" x14ac:dyDescent="0.3">
      <c r="G831" s="98"/>
    </row>
    <row r="832" spans="7:7" x14ac:dyDescent="0.3">
      <c r="G832" s="98"/>
    </row>
    <row r="833" spans="7:7" x14ac:dyDescent="0.3">
      <c r="G833" s="98"/>
    </row>
    <row r="834" spans="7:7" x14ac:dyDescent="0.3">
      <c r="G834" s="98"/>
    </row>
    <row r="835" spans="7:7" x14ac:dyDescent="0.3">
      <c r="G835" s="98"/>
    </row>
    <row r="836" spans="7:7" x14ac:dyDescent="0.3">
      <c r="G836" s="98"/>
    </row>
    <row r="837" spans="7:7" x14ac:dyDescent="0.3">
      <c r="G837" s="98"/>
    </row>
    <row r="838" spans="7:7" x14ac:dyDescent="0.3">
      <c r="G838" s="98"/>
    </row>
    <row r="839" spans="7:7" x14ac:dyDescent="0.3">
      <c r="G839" s="98"/>
    </row>
    <row r="840" spans="7:7" x14ac:dyDescent="0.3">
      <c r="G840" s="98"/>
    </row>
    <row r="841" spans="7:7" x14ac:dyDescent="0.3">
      <c r="G841" s="98"/>
    </row>
    <row r="842" spans="7:7" x14ac:dyDescent="0.3">
      <c r="G842" s="98"/>
    </row>
    <row r="843" spans="7:7" x14ac:dyDescent="0.3">
      <c r="G843" s="98"/>
    </row>
    <row r="844" spans="7:7" x14ac:dyDescent="0.3">
      <c r="G844" s="98"/>
    </row>
    <row r="845" spans="7:7" x14ac:dyDescent="0.3">
      <c r="G845" s="98"/>
    </row>
    <row r="846" spans="7:7" x14ac:dyDescent="0.3">
      <c r="G846" s="98"/>
    </row>
    <row r="847" spans="7:7" x14ac:dyDescent="0.3">
      <c r="G847" s="98"/>
    </row>
    <row r="848" spans="7:7" x14ac:dyDescent="0.3">
      <c r="G848" s="98"/>
    </row>
    <row r="849" spans="7:7" x14ac:dyDescent="0.3">
      <c r="G849" s="98"/>
    </row>
    <row r="850" spans="7:7" x14ac:dyDescent="0.3">
      <c r="G850" s="98"/>
    </row>
    <row r="851" spans="7:7" x14ac:dyDescent="0.3">
      <c r="G851" s="98"/>
    </row>
    <row r="852" spans="7:7" x14ac:dyDescent="0.3">
      <c r="G852" s="98"/>
    </row>
    <row r="853" spans="7:7" x14ac:dyDescent="0.3">
      <c r="G853" s="98"/>
    </row>
    <row r="854" spans="7:7" x14ac:dyDescent="0.3">
      <c r="G854" s="98"/>
    </row>
    <row r="855" spans="7:7" x14ac:dyDescent="0.3">
      <c r="G855" s="98"/>
    </row>
    <row r="856" spans="7:7" x14ac:dyDescent="0.3">
      <c r="G856" s="98"/>
    </row>
    <row r="857" spans="7:7" x14ac:dyDescent="0.3">
      <c r="G857" s="98"/>
    </row>
    <row r="858" spans="7:7" x14ac:dyDescent="0.3">
      <c r="G858" s="98"/>
    </row>
    <row r="859" spans="7:7" x14ac:dyDescent="0.3">
      <c r="G859" s="98"/>
    </row>
    <row r="860" spans="7:7" x14ac:dyDescent="0.3">
      <c r="G860" s="98"/>
    </row>
    <row r="861" spans="7:7" x14ac:dyDescent="0.3">
      <c r="G861" s="98"/>
    </row>
    <row r="862" spans="7:7" x14ac:dyDescent="0.3">
      <c r="G862" s="98"/>
    </row>
    <row r="863" spans="7:7" x14ac:dyDescent="0.3">
      <c r="G863" s="98"/>
    </row>
    <row r="864" spans="7:7" x14ac:dyDescent="0.3">
      <c r="G864" s="98"/>
    </row>
    <row r="865" spans="7:7" x14ac:dyDescent="0.3">
      <c r="G865" s="98"/>
    </row>
    <row r="866" spans="7:7" x14ac:dyDescent="0.3">
      <c r="G866" s="98"/>
    </row>
    <row r="867" spans="7:7" x14ac:dyDescent="0.3">
      <c r="G867" s="98"/>
    </row>
    <row r="868" spans="7:7" x14ac:dyDescent="0.3">
      <c r="G868" s="98"/>
    </row>
    <row r="869" spans="7:7" x14ac:dyDescent="0.3">
      <c r="G869" s="98"/>
    </row>
    <row r="870" spans="7:7" x14ac:dyDescent="0.3">
      <c r="G870" s="98"/>
    </row>
    <row r="871" spans="7:7" x14ac:dyDescent="0.3">
      <c r="G871" s="98"/>
    </row>
    <row r="872" spans="7:7" x14ac:dyDescent="0.3">
      <c r="G872" s="98"/>
    </row>
    <row r="873" spans="7:7" x14ac:dyDescent="0.3">
      <c r="G873" s="98"/>
    </row>
    <row r="874" spans="7:7" x14ac:dyDescent="0.3">
      <c r="G874" s="98"/>
    </row>
    <row r="875" spans="7:7" x14ac:dyDescent="0.3">
      <c r="G875" s="98"/>
    </row>
    <row r="876" spans="7:7" x14ac:dyDescent="0.3">
      <c r="G876" s="98"/>
    </row>
    <row r="877" spans="7:7" x14ac:dyDescent="0.3">
      <c r="G877" s="98"/>
    </row>
    <row r="878" spans="7:7" x14ac:dyDescent="0.3">
      <c r="G878" s="98"/>
    </row>
    <row r="879" spans="7:7" x14ac:dyDescent="0.3">
      <c r="G879" s="98"/>
    </row>
    <row r="880" spans="7:7" x14ac:dyDescent="0.3">
      <c r="G880" s="98"/>
    </row>
    <row r="881" spans="7:7" x14ac:dyDescent="0.3">
      <c r="G881" s="98"/>
    </row>
    <row r="882" spans="7:7" x14ac:dyDescent="0.3">
      <c r="G882" s="98"/>
    </row>
    <row r="883" spans="7:7" x14ac:dyDescent="0.3">
      <c r="G883" s="98"/>
    </row>
    <row r="884" spans="7:7" x14ac:dyDescent="0.3">
      <c r="G884" s="98"/>
    </row>
    <row r="885" spans="7:7" x14ac:dyDescent="0.3">
      <c r="G885" s="98"/>
    </row>
    <row r="886" spans="7:7" x14ac:dyDescent="0.3">
      <c r="G886" s="98"/>
    </row>
    <row r="887" spans="7:7" x14ac:dyDescent="0.3">
      <c r="G887" s="98"/>
    </row>
    <row r="888" spans="7:7" x14ac:dyDescent="0.3">
      <c r="G888" s="98"/>
    </row>
    <row r="889" spans="7:7" x14ac:dyDescent="0.3">
      <c r="G889" s="98"/>
    </row>
    <row r="890" spans="7:7" x14ac:dyDescent="0.3">
      <c r="G890" s="98"/>
    </row>
    <row r="891" spans="7:7" x14ac:dyDescent="0.3">
      <c r="G891" s="98"/>
    </row>
    <row r="892" spans="7:7" x14ac:dyDescent="0.3">
      <c r="G892" s="98"/>
    </row>
    <row r="893" spans="7:7" x14ac:dyDescent="0.3">
      <c r="G893" s="98"/>
    </row>
    <row r="894" spans="7:7" x14ac:dyDescent="0.3">
      <c r="G894" s="98"/>
    </row>
    <row r="895" spans="7:7" x14ac:dyDescent="0.3">
      <c r="G895" s="98"/>
    </row>
    <row r="896" spans="7:7" x14ac:dyDescent="0.3">
      <c r="G896" s="98"/>
    </row>
    <row r="897" spans="7:7" x14ac:dyDescent="0.3">
      <c r="G897" s="98"/>
    </row>
    <row r="898" spans="7:7" x14ac:dyDescent="0.3">
      <c r="G898" s="98"/>
    </row>
    <row r="899" spans="7:7" x14ac:dyDescent="0.3">
      <c r="G899" s="98"/>
    </row>
    <row r="900" spans="7:7" x14ac:dyDescent="0.3">
      <c r="G900" s="98"/>
    </row>
    <row r="901" spans="7:7" x14ac:dyDescent="0.3">
      <c r="G901" s="98"/>
    </row>
    <row r="902" spans="7:7" x14ac:dyDescent="0.3">
      <c r="G902" s="98"/>
    </row>
    <row r="903" spans="7:7" x14ac:dyDescent="0.3">
      <c r="G903" s="98"/>
    </row>
    <row r="904" spans="7:7" x14ac:dyDescent="0.3">
      <c r="G904" s="98"/>
    </row>
    <row r="905" spans="7:7" x14ac:dyDescent="0.3">
      <c r="G905" s="98"/>
    </row>
    <row r="906" spans="7:7" x14ac:dyDescent="0.3">
      <c r="G906" s="98"/>
    </row>
    <row r="907" spans="7:7" x14ac:dyDescent="0.3">
      <c r="G907" s="98"/>
    </row>
    <row r="908" spans="7:7" x14ac:dyDescent="0.3">
      <c r="G908" s="98"/>
    </row>
    <row r="909" spans="7:7" x14ac:dyDescent="0.3">
      <c r="G909" s="98"/>
    </row>
    <row r="910" spans="7:7" x14ac:dyDescent="0.3">
      <c r="G910" s="98"/>
    </row>
    <row r="911" spans="7:7" x14ac:dyDescent="0.3">
      <c r="G911" s="98"/>
    </row>
    <row r="912" spans="7:7" x14ac:dyDescent="0.3">
      <c r="G912" s="98"/>
    </row>
    <row r="913" spans="7:7" x14ac:dyDescent="0.3">
      <c r="G913" s="98"/>
    </row>
    <row r="914" spans="7:7" x14ac:dyDescent="0.3">
      <c r="G914" s="98"/>
    </row>
    <row r="915" spans="7:7" x14ac:dyDescent="0.3">
      <c r="G915" s="98"/>
    </row>
    <row r="916" spans="7:7" x14ac:dyDescent="0.3">
      <c r="G916" s="98"/>
    </row>
    <row r="917" spans="7:7" x14ac:dyDescent="0.3">
      <c r="G917" s="98"/>
    </row>
    <row r="918" spans="7:7" x14ac:dyDescent="0.3">
      <c r="G918" s="98"/>
    </row>
    <row r="919" spans="7:7" x14ac:dyDescent="0.3">
      <c r="G919" s="98"/>
    </row>
    <row r="920" spans="7:7" x14ac:dyDescent="0.3">
      <c r="G920" s="98"/>
    </row>
    <row r="921" spans="7:7" x14ac:dyDescent="0.3">
      <c r="G921" s="98"/>
    </row>
    <row r="922" spans="7:7" x14ac:dyDescent="0.3">
      <c r="G922" s="98"/>
    </row>
    <row r="923" spans="7:7" x14ac:dyDescent="0.3">
      <c r="G923" s="98"/>
    </row>
    <row r="924" spans="7:7" x14ac:dyDescent="0.3">
      <c r="G924" s="98"/>
    </row>
    <row r="925" spans="7:7" x14ac:dyDescent="0.3">
      <c r="G925" s="98"/>
    </row>
    <row r="926" spans="7:7" x14ac:dyDescent="0.3">
      <c r="G926" s="98"/>
    </row>
    <row r="927" spans="7:7" x14ac:dyDescent="0.3">
      <c r="G927" s="98"/>
    </row>
    <row r="928" spans="7:7" x14ac:dyDescent="0.3">
      <c r="G928" s="98"/>
    </row>
    <row r="929" spans="7:7" x14ac:dyDescent="0.3">
      <c r="G929" s="98"/>
    </row>
    <row r="930" spans="7:7" x14ac:dyDescent="0.3">
      <c r="G930" s="98"/>
    </row>
    <row r="931" spans="7:7" x14ac:dyDescent="0.3">
      <c r="G931" s="98"/>
    </row>
    <row r="932" spans="7:7" x14ac:dyDescent="0.3">
      <c r="G932" s="98"/>
    </row>
    <row r="933" spans="7:7" x14ac:dyDescent="0.3">
      <c r="G933" s="98"/>
    </row>
    <row r="934" spans="7:7" x14ac:dyDescent="0.3">
      <c r="G934" s="98"/>
    </row>
    <row r="935" spans="7:7" x14ac:dyDescent="0.3">
      <c r="G935" s="98"/>
    </row>
    <row r="936" spans="7:7" x14ac:dyDescent="0.3">
      <c r="G936" s="98"/>
    </row>
    <row r="937" spans="7:7" x14ac:dyDescent="0.3">
      <c r="G937" s="98"/>
    </row>
    <row r="938" spans="7:7" x14ac:dyDescent="0.3">
      <c r="G938" s="98"/>
    </row>
    <row r="939" spans="7:7" x14ac:dyDescent="0.3">
      <c r="G939" s="98"/>
    </row>
    <row r="940" spans="7:7" x14ac:dyDescent="0.3">
      <c r="G940" s="98"/>
    </row>
    <row r="941" spans="7:7" x14ac:dyDescent="0.3">
      <c r="G941" s="98"/>
    </row>
    <row r="942" spans="7:7" x14ac:dyDescent="0.3">
      <c r="G942" s="98"/>
    </row>
    <row r="943" spans="7:7" x14ac:dyDescent="0.3">
      <c r="G943" s="98"/>
    </row>
    <row r="944" spans="7:7" x14ac:dyDescent="0.3">
      <c r="G944" s="98"/>
    </row>
    <row r="945" spans="7:7" x14ac:dyDescent="0.3">
      <c r="G945" s="98"/>
    </row>
    <row r="946" spans="7:7" x14ac:dyDescent="0.3">
      <c r="G946" s="98"/>
    </row>
    <row r="947" spans="7:7" x14ac:dyDescent="0.3">
      <c r="G947" s="98"/>
    </row>
    <row r="948" spans="7:7" x14ac:dyDescent="0.3">
      <c r="G948" s="98"/>
    </row>
    <row r="949" spans="7:7" x14ac:dyDescent="0.3">
      <c r="G949" s="98"/>
    </row>
    <row r="950" spans="7:7" x14ac:dyDescent="0.3">
      <c r="G950" s="98"/>
    </row>
    <row r="951" spans="7:7" x14ac:dyDescent="0.3">
      <c r="G951" s="98"/>
    </row>
    <row r="952" spans="7:7" x14ac:dyDescent="0.3">
      <c r="G952" s="98"/>
    </row>
    <row r="953" spans="7:7" x14ac:dyDescent="0.3">
      <c r="G953" s="98"/>
    </row>
    <row r="954" spans="7:7" x14ac:dyDescent="0.3">
      <c r="G954" s="98"/>
    </row>
    <row r="955" spans="7:7" x14ac:dyDescent="0.3">
      <c r="G955" s="98"/>
    </row>
    <row r="956" spans="7:7" x14ac:dyDescent="0.3">
      <c r="G956" s="98"/>
    </row>
    <row r="957" spans="7:7" x14ac:dyDescent="0.3">
      <c r="G957" s="98"/>
    </row>
    <row r="958" spans="7:7" x14ac:dyDescent="0.3">
      <c r="G958" s="98"/>
    </row>
    <row r="959" spans="7:7" x14ac:dyDescent="0.3">
      <c r="G959" s="98"/>
    </row>
    <row r="960" spans="7:7" x14ac:dyDescent="0.3">
      <c r="G960" s="98"/>
    </row>
    <row r="961" spans="7:7" x14ac:dyDescent="0.3">
      <c r="G961" s="98"/>
    </row>
    <row r="962" spans="7:7" x14ac:dyDescent="0.3">
      <c r="G962" s="98"/>
    </row>
    <row r="963" spans="7:7" x14ac:dyDescent="0.3">
      <c r="G963" s="98"/>
    </row>
    <row r="964" spans="7:7" x14ac:dyDescent="0.3">
      <c r="G964" s="98"/>
    </row>
    <row r="965" spans="7:7" x14ac:dyDescent="0.3">
      <c r="G965" s="98"/>
    </row>
    <row r="966" spans="7:7" x14ac:dyDescent="0.3">
      <c r="G966" s="98"/>
    </row>
    <row r="967" spans="7:7" x14ac:dyDescent="0.3">
      <c r="G967" s="98"/>
    </row>
    <row r="968" spans="7:7" x14ac:dyDescent="0.3">
      <c r="G968" s="98"/>
    </row>
    <row r="969" spans="7:7" x14ac:dyDescent="0.3">
      <c r="G969" s="98"/>
    </row>
    <row r="970" spans="7:7" x14ac:dyDescent="0.3">
      <c r="G970" s="98"/>
    </row>
    <row r="971" spans="7:7" x14ac:dyDescent="0.3">
      <c r="G971" s="98"/>
    </row>
    <row r="972" spans="7:7" x14ac:dyDescent="0.3">
      <c r="G972" s="98"/>
    </row>
    <row r="973" spans="7:7" x14ac:dyDescent="0.3">
      <c r="G973" s="98"/>
    </row>
    <row r="974" spans="7:7" x14ac:dyDescent="0.3">
      <c r="G974" s="98"/>
    </row>
    <row r="975" spans="7:7" x14ac:dyDescent="0.3">
      <c r="G975" s="98"/>
    </row>
    <row r="976" spans="7:7" x14ac:dyDescent="0.3">
      <c r="G976" s="98"/>
    </row>
    <row r="977" spans="7:7" x14ac:dyDescent="0.3">
      <c r="G977" s="98"/>
    </row>
    <row r="978" spans="7:7" x14ac:dyDescent="0.3">
      <c r="G978" s="98"/>
    </row>
    <row r="979" spans="7:7" x14ac:dyDescent="0.3">
      <c r="G979" s="98"/>
    </row>
    <row r="980" spans="7:7" x14ac:dyDescent="0.3">
      <c r="G980" s="98"/>
    </row>
    <row r="981" spans="7:7" x14ac:dyDescent="0.3">
      <c r="G981" s="98"/>
    </row>
    <row r="982" spans="7:7" x14ac:dyDescent="0.3">
      <c r="G982" s="98"/>
    </row>
    <row r="983" spans="7:7" x14ac:dyDescent="0.3">
      <c r="G983" s="98"/>
    </row>
    <row r="984" spans="7:7" x14ac:dyDescent="0.3">
      <c r="G984" s="98"/>
    </row>
    <row r="985" spans="7:7" x14ac:dyDescent="0.3">
      <c r="G985" s="98"/>
    </row>
    <row r="986" spans="7:7" x14ac:dyDescent="0.3">
      <c r="G986" s="98"/>
    </row>
    <row r="987" spans="7:7" x14ac:dyDescent="0.3">
      <c r="G987" s="98"/>
    </row>
    <row r="988" spans="7:7" x14ac:dyDescent="0.3">
      <c r="G988" s="98"/>
    </row>
    <row r="989" spans="7:7" x14ac:dyDescent="0.3">
      <c r="G989" s="98"/>
    </row>
    <row r="990" spans="7:7" x14ac:dyDescent="0.3">
      <c r="G990" s="98"/>
    </row>
    <row r="991" spans="7:7" x14ac:dyDescent="0.3">
      <c r="G991" s="98"/>
    </row>
    <row r="992" spans="7:7" x14ac:dyDescent="0.3">
      <c r="G992" s="98"/>
    </row>
    <row r="993" spans="7:7" x14ac:dyDescent="0.3">
      <c r="G993" s="98"/>
    </row>
    <row r="994" spans="7:7" x14ac:dyDescent="0.3">
      <c r="G994" s="98"/>
    </row>
    <row r="995" spans="7:7" x14ac:dyDescent="0.3">
      <c r="G995" s="98"/>
    </row>
    <row r="996" spans="7:7" x14ac:dyDescent="0.3">
      <c r="G996" s="98"/>
    </row>
    <row r="997" spans="7:7" x14ac:dyDescent="0.3">
      <c r="G997" s="98"/>
    </row>
    <row r="998" spans="7:7" x14ac:dyDescent="0.3">
      <c r="G998" s="98"/>
    </row>
    <row r="999" spans="7:7" x14ac:dyDescent="0.3">
      <c r="G999" s="98"/>
    </row>
    <row r="1000" spans="7:7" x14ac:dyDescent="0.3">
      <c r="G1000" s="98"/>
    </row>
    <row r="1001" spans="7:7" x14ac:dyDescent="0.3">
      <c r="G1001" s="98"/>
    </row>
    <row r="1002" spans="7:7" x14ac:dyDescent="0.3">
      <c r="G1002" s="98"/>
    </row>
    <row r="1003" spans="7:7" x14ac:dyDescent="0.3">
      <c r="G1003" s="98"/>
    </row>
    <row r="1004" spans="7:7" x14ac:dyDescent="0.3">
      <c r="G1004" s="98"/>
    </row>
    <row r="1005" spans="7:7" x14ac:dyDescent="0.3">
      <c r="G1005" s="98"/>
    </row>
    <row r="1006" spans="7:7" x14ac:dyDescent="0.3">
      <c r="G1006" s="98"/>
    </row>
    <row r="1007" spans="7:7" x14ac:dyDescent="0.3">
      <c r="G1007" s="98"/>
    </row>
    <row r="1008" spans="7:7" x14ac:dyDescent="0.3">
      <c r="G1008" s="98"/>
    </row>
    <row r="1009" spans="7:7" x14ac:dyDescent="0.3">
      <c r="G1009" s="98"/>
    </row>
    <row r="1010" spans="7:7" x14ac:dyDescent="0.3">
      <c r="G1010" s="98"/>
    </row>
    <row r="1011" spans="7:7" x14ac:dyDescent="0.3">
      <c r="G1011" s="98"/>
    </row>
    <row r="1012" spans="7:7" x14ac:dyDescent="0.3">
      <c r="G1012" s="98"/>
    </row>
    <row r="1013" spans="7:7" x14ac:dyDescent="0.3">
      <c r="G1013" s="98"/>
    </row>
    <row r="1014" spans="7:7" x14ac:dyDescent="0.3">
      <c r="G1014" s="98"/>
    </row>
    <row r="1015" spans="7:7" x14ac:dyDescent="0.3">
      <c r="G1015" s="98"/>
    </row>
    <row r="1016" spans="7:7" x14ac:dyDescent="0.3">
      <c r="G1016" s="98"/>
    </row>
    <row r="1017" spans="7:7" x14ac:dyDescent="0.3">
      <c r="G1017" s="98"/>
    </row>
    <row r="1018" spans="7:7" x14ac:dyDescent="0.3">
      <c r="G1018" s="98"/>
    </row>
    <row r="1019" spans="7:7" x14ac:dyDescent="0.3">
      <c r="G1019" s="98"/>
    </row>
    <row r="1020" spans="7:7" x14ac:dyDescent="0.3">
      <c r="G1020" s="98"/>
    </row>
    <row r="1021" spans="7:7" x14ac:dyDescent="0.3">
      <c r="G1021" s="98"/>
    </row>
    <row r="1022" spans="7:7" x14ac:dyDescent="0.3">
      <c r="G1022" s="98"/>
    </row>
    <row r="1023" spans="7:7" x14ac:dyDescent="0.3">
      <c r="G1023" s="98"/>
    </row>
    <row r="1024" spans="7:7" x14ac:dyDescent="0.3">
      <c r="G1024" s="98"/>
    </row>
    <row r="1025" spans="7:7" x14ac:dyDescent="0.3">
      <c r="G1025" s="98"/>
    </row>
    <row r="1026" spans="7:7" x14ac:dyDescent="0.3">
      <c r="G1026" s="98"/>
    </row>
    <row r="1027" spans="7:7" x14ac:dyDescent="0.3">
      <c r="G1027" s="98"/>
    </row>
    <row r="1028" spans="7:7" x14ac:dyDescent="0.3">
      <c r="G1028" s="98"/>
    </row>
    <row r="1029" spans="7:7" x14ac:dyDescent="0.3">
      <c r="G1029" s="98"/>
    </row>
    <row r="1030" spans="7:7" x14ac:dyDescent="0.3">
      <c r="G1030" s="98"/>
    </row>
    <row r="1031" spans="7:7" x14ac:dyDescent="0.3">
      <c r="G1031" s="98"/>
    </row>
    <row r="1032" spans="7:7" x14ac:dyDescent="0.3">
      <c r="G1032" s="98"/>
    </row>
    <row r="1033" spans="7:7" x14ac:dyDescent="0.3">
      <c r="G1033" s="98"/>
    </row>
    <row r="1034" spans="7:7" x14ac:dyDescent="0.3">
      <c r="G1034" s="98"/>
    </row>
    <row r="1035" spans="7:7" x14ac:dyDescent="0.3">
      <c r="G1035" s="98"/>
    </row>
    <row r="1036" spans="7:7" x14ac:dyDescent="0.3">
      <c r="G1036" s="98"/>
    </row>
    <row r="1037" spans="7:7" x14ac:dyDescent="0.3">
      <c r="G1037" s="98"/>
    </row>
    <row r="1038" spans="7:7" x14ac:dyDescent="0.3">
      <c r="G1038" s="98"/>
    </row>
    <row r="1039" spans="7:7" x14ac:dyDescent="0.3">
      <c r="G1039" s="98"/>
    </row>
    <row r="1040" spans="7:7" x14ac:dyDescent="0.3">
      <c r="G1040" s="98"/>
    </row>
    <row r="1041" spans="7:7" x14ac:dyDescent="0.3">
      <c r="G1041" s="98"/>
    </row>
    <row r="1042" spans="7:7" x14ac:dyDescent="0.3">
      <c r="G1042" s="98"/>
    </row>
    <row r="1043" spans="7:7" x14ac:dyDescent="0.3">
      <c r="G1043" s="98"/>
    </row>
    <row r="1044" spans="7:7" x14ac:dyDescent="0.3">
      <c r="G1044" s="98"/>
    </row>
    <row r="1045" spans="7:7" x14ac:dyDescent="0.3">
      <c r="G1045" s="98"/>
    </row>
    <row r="1046" spans="7:7" x14ac:dyDescent="0.3">
      <c r="G1046" s="98"/>
    </row>
    <row r="1047" spans="7:7" x14ac:dyDescent="0.3">
      <c r="G1047" s="98"/>
    </row>
    <row r="1048" spans="7:7" x14ac:dyDescent="0.3">
      <c r="G1048" s="98"/>
    </row>
    <row r="1049" spans="7:7" x14ac:dyDescent="0.3">
      <c r="G1049" s="98"/>
    </row>
    <row r="1050" spans="7:7" x14ac:dyDescent="0.3">
      <c r="G1050" s="98"/>
    </row>
    <row r="1051" spans="7:7" x14ac:dyDescent="0.3">
      <c r="G1051" s="98"/>
    </row>
    <row r="1052" spans="7:7" x14ac:dyDescent="0.3">
      <c r="G1052" s="98"/>
    </row>
    <row r="1053" spans="7:7" x14ac:dyDescent="0.3">
      <c r="G1053" s="98"/>
    </row>
    <row r="1054" spans="7:7" x14ac:dyDescent="0.3">
      <c r="G1054" s="98"/>
    </row>
    <row r="1055" spans="7:7" x14ac:dyDescent="0.3">
      <c r="G1055" s="98"/>
    </row>
    <row r="1056" spans="7:7" x14ac:dyDescent="0.3">
      <c r="G1056" s="98"/>
    </row>
    <row r="1057" spans="7:7" x14ac:dyDescent="0.3">
      <c r="G1057" s="98"/>
    </row>
    <row r="1058" spans="7:7" x14ac:dyDescent="0.3">
      <c r="G1058" s="98"/>
    </row>
    <row r="1059" spans="7:7" x14ac:dyDescent="0.3">
      <c r="G1059" s="98"/>
    </row>
    <row r="1060" spans="7:7" x14ac:dyDescent="0.3">
      <c r="G1060" s="98"/>
    </row>
    <row r="1061" spans="7:7" x14ac:dyDescent="0.3">
      <c r="G1061" s="98"/>
    </row>
    <row r="1062" spans="7:7" x14ac:dyDescent="0.3">
      <c r="G1062" s="98"/>
    </row>
    <row r="1063" spans="7:7" x14ac:dyDescent="0.3">
      <c r="G1063" s="98"/>
    </row>
    <row r="1064" spans="7:7" x14ac:dyDescent="0.3">
      <c r="G1064" s="98"/>
    </row>
    <row r="1065" spans="7:7" x14ac:dyDescent="0.3">
      <c r="G1065" s="98"/>
    </row>
    <row r="1066" spans="7:7" x14ac:dyDescent="0.3">
      <c r="G1066" s="98"/>
    </row>
    <row r="1067" spans="7:7" x14ac:dyDescent="0.3">
      <c r="G1067" s="98"/>
    </row>
    <row r="1068" spans="7:7" x14ac:dyDescent="0.3">
      <c r="G1068" s="98"/>
    </row>
    <row r="1069" spans="7:7" x14ac:dyDescent="0.3">
      <c r="G1069" s="98"/>
    </row>
    <row r="1070" spans="7:7" x14ac:dyDescent="0.3">
      <c r="G1070" s="98"/>
    </row>
    <row r="1071" spans="7:7" x14ac:dyDescent="0.3">
      <c r="G1071" s="98"/>
    </row>
    <row r="1072" spans="7:7" x14ac:dyDescent="0.3">
      <c r="G1072" s="98"/>
    </row>
    <row r="1073" spans="7:7" x14ac:dyDescent="0.3">
      <c r="G1073" s="98"/>
    </row>
    <row r="1074" spans="7:7" x14ac:dyDescent="0.3">
      <c r="G1074" s="98"/>
    </row>
    <row r="1075" spans="7:7" x14ac:dyDescent="0.3">
      <c r="G1075" s="98"/>
    </row>
    <row r="1076" spans="7:7" x14ac:dyDescent="0.3">
      <c r="G1076" s="98"/>
    </row>
    <row r="1077" spans="7:7" x14ac:dyDescent="0.3">
      <c r="G1077" s="98"/>
    </row>
    <row r="1078" spans="7:7" x14ac:dyDescent="0.3">
      <c r="G1078" s="98"/>
    </row>
    <row r="1079" spans="7:7" x14ac:dyDescent="0.3">
      <c r="G1079" s="98"/>
    </row>
    <row r="1080" spans="7:7" x14ac:dyDescent="0.3">
      <c r="G1080" s="98"/>
    </row>
    <row r="1081" spans="7:7" x14ac:dyDescent="0.3">
      <c r="G1081" s="98"/>
    </row>
    <row r="1082" spans="7:7" x14ac:dyDescent="0.3">
      <c r="G1082" s="98"/>
    </row>
    <row r="1083" spans="7:7" x14ac:dyDescent="0.3">
      <c r="G1083" s="98"/>
    </row>
    <row r="1084" spans="7:7" x14ac:dyDescent="0.3">
      <c r="G1084" s="98"/>
    </row>
    <row r="1085" spans="7:7" x14ac:dyDescent="0.3">
      <c r="G1085" s="98"/>
    </row>
    <row r="1086" spans="7:7" x14ac:dyDescent="0.3">
      <c r="G1086" s="98"/>
    </row>
    <row r="1087" spans="7:7" x14ac:dyDescent="0.3">
      <c r="G1087" s="98"/>
    </row>
    <row r="1088" spans="7:7" x14ac:dyDescent="0.3">
      <c r="G1088" s="98"/>
    </row>
    <row r="1089" spans="7:7" x14ac:dyDescent="0.3">
      <c r="G1089" s="98"/>
    </row>
    <row r="1090" spans="7:7" x14ac:dyDescent="0.3">
      <c r="G1090" s="98"/>
    </row>
    <row r="1091" spans="7:7" x14ac:dyDescent="0.3">
      <c r="G1091" s="98"/>
    </row>
    <row r="1092" spans="7:7" x14ac:dyDescent="0.3">
      <c r="G1092" s="98"/>
    </row>
    <row r="1093" spans="7:7" x14ac:dyDescent="0.3">
      <c r="G1093" s="98"/>
    </row>
    <row r="1094" spans="7:7" x14ac:dyDescent="0.3">
      <c r="G1094" s="98"/>
    </row>
    <row r="1095" spans="7:7" x14ac:dyDescent="0.3">
      <c r="G1095" s="98"/>
    </row>
    <row r="1096" spans="7:7" x14ac:dyDescent="0.3">
      <c r="G1096" s="98"/>
    </row>
    <row r="1097" spans="7:7" x14ac:dyDescent="0.3">
      <c r="G1097" s="98"/>
    </row>
    <row r="1098" spans="7:7" x14ac:dyDescent="0.3">
      <c r="G1098" s="98"/>
    </row>
    <row r="1099" spans="7:7" x14ac:dyDescent="0.3">
      <c r="G1099" s="98"/>
    </row>
    <row r="1100" spans="7:7" x14ac:dyDescent="0.3">
      <c r="G1100" s="98"/>
    </row>
    <row r="1101" spans="7:7" x14ac:dyDescent="0.3">
      <c r="G1101" s="98"/>
    </row>
    <row r="1102" spans="7:7" x14ac:dyDescent="0.3">
      <c r="G1102" s="98"/>
    </row>
    <row r="1103" spans="7:7" x14ac:dyDescent="0.3">
      <c r="G1103" s="98"/>
    </row>
    <row r="1104" spans="7:7" x14ac:dyDescent="0.3">
      <c r="G1104" s="98"/>
    </row>
    <row r="1105" spans="7:7" x14ac:dyDescent="0.3">
      <c r="G1105" s="98"/>
    </row>
    <row r="1106" spans="7:7" x14ac:dyDescent="0.3">
      <c r="G1106" s="98"/>
    </row>
    <row r="1107" spans="7:7" x14ac:dyDescent="0.3">
      <c r="G1107" s="98"/>
    </row>
    <row r="1108" spans="7:7" x14ac:dyDescent="0.3">
      <c r="G1108" s="98"/>
    </row>
    <row r="1109" spans="7:7" x14ac:dyDescent="0.3">
      <c r="G1109" s="98"/>
    </row>
    <row r="1110" spans="7:7" x14ac:dyDescent="0.3">
      <c r="G1110" s="98"/>
    </row>
    <row r="1111" spans="7:7" x14ac:dyDescent="0.3">
      <c r="G1111" s="98"/>
    </row>
    <row r="1112" spans="7:7" x14ac:dyDescent="0.3">
      <c r="G1112" s="98"/>
    </row>
    <row r="1113" spans="7:7" x14ac:dyDescent="0.3">
      <c r="G1113" s="98"/>
    </row>
    <row r="1114" spans="7:7" x14ac:dyDescent="0.3">
      <c r="G1114" s="98"/>
    </row>
    <row r="1115" spans="7:7" x14ac:dyDescent="0.3">
      <c r="G1115" s="98"/>
    </row>
    <row r="1116" spans="7:7" x14ac:dyDescent="0.3">
      <c r="G1116" s="98"/>
    </row>
    <row r="1117" spans="7:7" x14ac:dyDescent="0.3">
      <c r="G1117" s="98"/>
    </row>
    <row r="1118" spans="7:7" x14ac:dyDescent="0.3">
      <c r="G1118" s="98"/>
    </row>
    <row r="1119" spans="7:7" x14ac:dyDescent="0.3">
      <c r="G1119" s="98"/>
    </row>
    <row r="1120" spans="7:7" x14ac:dyDescent="0.3">
      <c r="G1120" s="98"/>
    </row>
    <row r="1121" spans="7:7" x14ac:dyDescent="0.3">
      <c r="G1121" s="98"/>
    </row>
    <row r="1122" spans="7:7" x14ac:dyDescent="0.3">
      <c r="G1122" s="98"/>
    </row>
    <row r="1123" spans="7:7" x14ac:dyDescent="0.3">
      <c r="G1123" s="98"/>
    </row>
    <row r="1124" spans="7:7" x14ac:dyDescent="0.3">
      <c r="G1124" s="98"/>
    </row>
    <row r="1125" spans="7:7" x14ac:dyDescent="0.3">
      <c r="G1125" s="98"/>
    </row>
    <row r="1126" spans="7:7" x14ac:dyDescent="0.3">
      <c r="G1126" s="98"/>
    </row>
    <row r="1127" spans="7:7" x14ac:dyDescent="0.3">
      <c r="G1127" s="98"/>
    </row>
    <row r="1128" spans="7:7" x14ac:dyDescent="0.3">
      <c r="G1128" s="98"/>
    </row>
    <row r="1129" spans="7:7" x14ac:dyDescent="0.3">
      <c r="G1129" s="98"/>
    </row>
    <row r="1130" spans="7:7" x14ac:dyDescent="0.3">
      <c r="G1130" s="98"/>
    </row>
    <row r="1131" spans="7:7" x14ac:dyDescent="0.3">
      <c r="G1131" s="98"/>
    </row>
    <row r="1132" spans="7:7" x14ac:dyDescent="0.3">
      <c r="G1132" s="98"/>
    </row>
    <row r="1133" spans="7:7" x14ac:dyDescent="0.3">
      <c r="G1133" s="98"/>
    </row>
    <row r="1134" spans="7:7" x14ac:dyDescent="0.3">
      <c r="G1134" s="98"/>
    </row>
    <row r="1135" spans="7:7" x14ac:dyDescent="0.3">
      <c r="G1135" s="98"/>
    </row>
    <row r="1136" spans="7:7" x14ac:dyDescent="0.3">
      <c r="G1136" s="98"/>
    </row>
    <row r="1137" spans="7:7" x14ac:dyDescent="0.3">
      <c r="G1137" s="98"/>
    </row>
    <row r="1138" spans="7:7" x14ac:dyDescent="0.3">
      <c r="G1138" s="98"/>
    </row>
    <row r="1139" spans="7:7" x14ac:dyDescent="0.3">
      <c r="G1139" s="98"/>
    </row>
    <row r="1140" spans="7:7" x14ac:dyDescent="0.3">
      <c r="G1140" s="98"/>
    </row>
    <row r="1141" spans="7:7" x14ac:dyDescent="0.3">
      <c r="G1141" s="98"/>
    </row>
    <row r="1142" spans="7:7" x14ac:dyDescent="0.3">
      <c r="G1142" s="98"/>
    </row>
    <row r="1143" spans="7:7" x14ac:dyDescent="0.3">
      <c r="G1143" s="98"/>
    </row>
    <row r="1144" spans="7:7" x14ac:dyDescent="0.3">
      <c r="G1144" s="98"/>
    </row>
    <row r="1145" spans="7:7" x14ac:dyDescent="0.3">
      <c r="G1145" s="98"/>
    </row>
    <row r="1146" spans="7:7" x14ac:dyDescent="0.3">
      <c r="G1146" s="98"/>
    </row>
    <row r="1147" spans="7:7" x14ac:dyDescent="0.3">
      <c r="G1147" s="98"/>
    </row>
    <row r="1148" spans="7:7" x14ac:dyDescent="0.3">
      <c r="G1148" s="98"/>
    </row>
    <row r="1149" spans="7:7" x14ac:dyDescent="0.3">
      <c r="G1149" s="98"/>
    </row>
    <row r="1150" spans="7:7" x14ac:dyDescent="0.3">
      <c r="G1150" s="98"/>
    </row>
    <row r="1151" spans="7:7" x14ac:dyDescent="0.3">
      <c r="G1151" s="98"/>
    </row>
    <row r="1152" spans="7:7" x14ac:dyDescent="0.3">
      <c r="G1152" s="98"/>
    </row>
    <row r="1153" spans="7:7" x14ac:dyDescent="0.3">
      <c r="G1153" s="98"/>
    </row>
    <row r="1154" spans="7:7" x14ac:dyDescent="0.3">
      <c r="G1154" s="98"/>
    </row>
    <row r="1155" spans="7:7" x14ac:dyDescent="0.3">
      <c r="G1155" s="98"/>
    </row>
    <row r="1156" spans="7:7" x14ac:dyDescent="0.3">
      <c r="G1156" s="98"/>
    </row>
    <row r="1157" spans="7:7" x14ac:dyDescent="0.3">
      <c r="G1157" s="98"/>
    </row>
    <row r="1158" spans="7:7" x14ac:dyDescent="0.3">
      <c r="G1158" s="98"/>
    </row>
    <row r="1159" spans="7:7" x14ac:dyDescent="0.3">
      <c r="G1159" s="98"/>
    </row>
    <row r="1160" spans="7:7" x14ac:dyDescent="0.3">
      <c r="G1160" s="98"/>
    </row>
    <row r="1161" spans="7:7" x14ac:dyDescent="0.3">
      <c r="G1161" s="98"/>
    </row>
    <row r="1162" spans="7:7" x14ac:dyDescent="0.3">
      <c r="G1162" s="98"/>
    </row>
    <row r="1163" spans="7:7" x14ac:dyDescent="0.3">
      <c r="G1163" s="98"/>
    </row>
    <row r="1164" spans="7:7" x14ac:dyDescent="0.3">
      <c r="G1164" s="98"/>
    </row>
    <row r="1165" spans="7:7" x14ac:dyDescent="0.3">
      <c r="G1165" s="98"/>
    </row>
    <row r="1166" spans="7:7" x14ac:dyDescent="0.3">
      <c r="G1166" s="98"/>
    </row>
    <row r="1167" spans="7:7" x14ac:dyDescent="0.3">
      <c r="G1167" s="98"/>
    </row>
    <row r="1168" spans="7:7" x14ac:dyDescent="0.3">
      <c r="G1168" s="98"/>
    </row>
    <row r="1169" spans="7:7" x14ac:dyDescent="0.3">
      <c r="G1169" s="98"/>
    </row>
    <row r="1170" spans="7:7" x14ac:dyDescent="0.3">
      <c r="G1170" s="98"/>
    </row>
    <row r="1171" spans="7:7" x14ac:dyDescent="0.3">
      <c r="G1171" s="98"/>
    </row>
    <row r="1172" spans="7:7" x14ac:dyDescent="0.3">
      <c r="G1172" s="98"/>
    </row>
    <row r="1173" spans="7:7" x14ac:dyDescent="0.3">
      <c r="G1173" s="98"/>
    </row>
    <row r="1174" spans="7:7" x14ac:dyDescent="0.3">
      <c r="G1174" s="98"/>
    </row>
    <row r="1175" spans="7:7" x14ac:dyDescent="0.3">
      <c r="G1175" s="98"/>
    </row>
    <row r="1176" spans="7:7" x14ac:dyDescent="0.3">
      <c r="G1176" s="98"/>
    </row>
    <row r="1177" spans="7:7" x14ac:dyDescent="0.3">
      <c r="G1177" s="98"/>
    </row>
    <row r="1178" spans="7:7" x14ac:dyDescent="0.3">
      <c r="G1178" s="98"/>
    </row>
    <row r="1179" spans="7:7" x14ac:dyDescent="0.3">
      <c r="G1179" s="98"/>
    </row>
    <row r="1180" spans="7:7" x14ac:dyDescent="0.3">
      <c r="G1180" s="98"/>
    </row>
    <row r="1181" spans="7:7" x14ac:dyDescent="0.3">
      <c r="G1181" s="98"/>
    </row>
    <row r="1182" spans="7:7" x14ac:dyDescent="0.3">
      <c r="G1182" s="98"/>
    </row>
    <row r="1183" spans="7:7" x14ac:dyDescent="0.3">
      <c r="G1183" s="98"/>
    </row>
    <row r="1184" spans="7:7" x14ac:dyDescent="0.3">
      <c r="G1184" s="98"/>
    </row>
    <row r="1185" spans="7:7" x14ac:dyDescent="0.3">
      <c r="G1185" s="98"/>
    </row>
    <row r="1186" spans="7:7" x14ac:dyDescent="0.3">
      <c r="G1186" s="98"/>
    </row>
    <row r="1187" spans="7:7" x14ac:dyDescent="0.3">
      <c r="G1187" s="98"/>
    </row>
    <row r="1188" spans="7:7" x14ac:dyDescent="0.3">
      <c r="G1188" s="98"/>
    </row>
    <row r="1189" spans="7:7" x14ac:dyDescent="0.3">
      <c r="G1189" s="98"/>
    </row>
    <row r="1190" spans="7:7" x14ac:dyDescent="0.3">
      <c r="G1190" s="98"/>
    </row>
    <row r="1191" spans="7:7" x14ac:dyDescent="0.3">
      <c r="G1191" s="98"/>
    </row>
    <row r="1192" spans="7:7" x14ac:dyDescent="0.3">
      <c r="G1192" s="98"/>
    </row>
    <row r="1193" spans="7:7" x14ac:dyDescent="0.3">
      <c r="G1193" s="98"/>
    </row>
    <row r="1194" spans="7:7" x14ac:dyDescent="0.3">
      <c r="G1194" s="98"/>
    </row>
    <row r="1195" spans="7:7" x14ac:dyDescent="0.3">
      <c r="G1195" s="98"/>
    </row>
    <row r="1196" spans="7:7" x14ac:dyDescent="0.3">
      <c r="G1196" s="98"/>
    </row>
    <row r="1197" spans="7:7" x14ac:dyDescent="0.3">
      <c r="G1197" s="98"/>
    </row>
    <row r="1198" spans="7:7" x14ac:dyDescent="0.3">
      <c r="G1198" s="98"/>
    </row>
    <row r="1199" spans="7:7" x14ac:dyDescent="0.3">
      <c r="G1199" s="98"/>
    </row>
    <row r="1200" spans="7:7" x14ac:dyDescent="0.3">
      <c r="G1200" s="98"/>
    </row>
    <row r="1201" spans="7:7" x14ac:dyDescent="0.3">
      <c r="G1201" s="98"/>
    </row>
    <row r="1202" spans="7:7" x14ac:dyDescent="0.3">
      <c r="G1202" s="98"/>
    </row>
    <row r="1203" spans="7:7" x14ac:dyDescent="0.3">
      <c r="G1203" s="98"/>
    </row>
    <row r="1204" spans="7:7" x14ac:dyDescent="0.3">
      <c r="G1204" s="98"/>
    </row>
    <row r="1205" spans="7:7" x14ac:dyDescent="0.3">
      <c r="G1205" s="98"/>
    </row>
    <row r="1206" spans="7:7" x14ac:dyDescent="0.3">
      <c r="G1206" s="98"/>
    </row>
    <row r="1207" spans="7:7" x14ac:dyDescent="0.3">
      <c r="G1207" s="98"/>
    </row>
    <row r="1208" spans="7:7" x14ac:dyDescent="0.3">
      <c r="G1208" s="98"/>
    </row>
    <row r="1209" spans="7:7" x14ac:dyDescent="0.3">
      <c r="G1209" s="98"/>
    </row>
    <row r="1210" spans="7:7" x14ac:dyDescent="0.3">
      <c r="G1210" s="98"/>
    </row>
    <row r="1211" spans="7:7" x14ac:dyDescent="0.3">
      <c r="G1211" s="98"/>
    </row>
    <row r="1212" spans="7:7" x14ac:dyDescent="0.3">
      <c r="G1212" s="98"/>
    </row>
    <row r="1213" spans="7:7" x14ac:dyDescent="0.3">
      <c r="G1213" s="98"/>
    </row>
    <row r="1214" spans="7:7" x14ac:dyDescent="0.3">
      <c r="G1214" s="98"/>
    </row>
    <row r="1215" spans="7:7" x14ac:dyDescent="0.3">
      <c r="G1215" s="98"/>
    </row>
    <row r="1216" spans="7:7" x14ac:dyDescent="0.3">
      <c r="G1216" s="98"/>
    </row>
    <row r="1217" spans="7:7" x14ac:dyDescent="0.3">
      <c r="G1217" s="98"/>
    </row>
    <row r="1218" spans="7:7" x14ac:dyDescent="0.3">
      <c r="G1218" s="98"/>
    </row>
    <row r="1219" spans="7:7" x14ac:dyDescent="0.3">
      <c r="G1219" s="98"/>
    </row>
    <row r="1220" spans="7:7" x14ac:dyDescent="0.3">
      <c r="G1220" s="98"/>
    </row>
    <row r="1221" spans="7:7" x14ac:dyDescent="0.3">
      <c r="G1221" s="98"/>
    </row>
    <row r="1222" spans="7:7" x14ac:dyDescent="0.3">
      <c r="G1222" s="98"/>
    </row>
    <row r="1223" spans="7:7" x14ac:dyDescent="0.3">
      <c r="G1223" s="98"/>
    </row>
    <row r="1224" spans="7:7" x14ac:dyDescent="0.3">
      <c r="G1224" s="98"/>
    </row>
    <row r="1225" spans="7:7" x14ac:dyDescent="0.3">
      <c r="G1225" s="98"/>
    </row>
    <row r="1226" spans="7:7" x14ac:dyDescent="0.3">
      <c r="G1226" s="98"/>
    </row>
    <row r="1227" spans="7:7" x14ac:dyDescent="0.3">
      <c r="G1227" s="98"/>
    </row>
    <row r="1228" spans="7:7" x14ac:dyDescent="0.3">
      <c r="G1228" s="98"/>
    </row>
    <row r="1229" spans="7:7" x14ac:dyDescent="0.3">
      <c r="G1229" s="98"/>
    </row>
    <row r="1230" spans="7:7" x14ac:dyDescent="0.3">
      <c r="G1230" s="98"/>
    </row>
    <row r="1231" spans="7:7" x14ac:dyDescent="0.3">
      <c r="G1231" s="98"/>
    </row>
    <row r="1232" spans="7:7" x14ac:dyDescent="0.3">
      <c r="G1232" s="98"/>
    </row>
    <row r="1233" spans="7:7" x14ac:dyDescent="0.3">
      <c r="G1233" s="98"/>
    </row>
    <row r="1234" spans="7:7" x14ac:dyDescent="0.3">
      <c r="G1234" s="98"/>
    </row>
    <row r="1235" spans="7:7" x14ac:dyDescent="0.3">
      <c r="G1235" s="98"/>
    </row>
    <row r="1236" spans="7:7" x14ac:dyDescent="0.3">
      <c r="G1236" s="98"/>
    </row>
    <row r="1237" spans="7:7" x14ac:dyDescent="0.3">
      <c r="G1237" s="98"/>
    </row>
    <row r="1238" spans="7:7" x14ac:dyDescent="0.3">
      <c r="G1238" s="98"/>
    </row>
    <row r="1239" spans="7:7" x14ac:dyDescent="0.3">
      <c r="G1239" s="98"/>
    </row>
    <row r="1240" spans="7:7" x14ac:dyDescent="0.3">
      <c r="G1240" s="98"/>
    </row>
    <row r="1241" spans="7:7" x14ac:dyDescent="0.3">
      <c r="G1241" s="98"/>
    </row>
    <row r="1242" spans="7:7" x14ac:dyDescent="0.3">
      <c r="G1242" s="98"/>
    </row>
    <row r="1243" spans="7:7" x14ac:dyDescent="0.3">
      <c r="G1243" s="98"/>
    </row>
    <row r="1244" spans="7:7" x14ac:dyDescent="0.3">
      <c r="G1244" s="98"/>
    </row>
    <row r="1245" spans="7:7" x14ac:dyDescent="0.3">
      <c r="G1245" s="98"/>
    </row>
    <row r="1246" spans="7:7" x14ac:dyDescent="0.3">
      <c r="G1246" s="98"/>
    </row>
    <row r="1247" spans="7:7" x14ac:dyDescent="0.3">
      <c r="G1247" s="98"/>
    </row>
    <row r="1248" spans="7:7" x14ac:dyDescent="0.3">
      <c r="G1248" s="98"/>
    </row>
    <row r="1249" spans="7:7" x14ac:dyDescent="0.3">
      <c r="G1249" s="98"/>
    </row>
    <row r="1250" spans="7:7" x14ac:dyDescent="0.3">
      <c r="G1250" s="98"/>
    </row>
    <row r="1251" spans="7:7" x14ac:dyDescent="0.3">
      <c r="G1251" s="98"/>
    </row>
    <row r="1252" spans="7:7" x14ac:dyDescent="0.3">
      <c r="G1252" s="98"/>
    </row>
    <row r="1253" spans="7:7" x14ac:dyDescent="0.3">
      <c r="G1253" s="98"/>
    </row>
    <row r="1254" spans="7:7" x14ac:dyDescent="0.3">
      <c r="G1254" s="98"/>
    </row>
    <row r="1255" spans="7:7" x14ac:dyDescent="0.3">
      <c r="G1255" s="98"/>
    </row>
    <row r="1256" spans="7:7" x14ac:dyDescent="0.3">
      <c r="G1256" s="98"/>
    </row>
    <row r="1257" spans="7:7" x14ac:dyDescent="0.3">
      <c r="G1257" s="98"/>
    </row>
    <row r="1258" spans="7:7" x14ac:dyDescent="0.3">
      <c r="G1258" s="98"/>
    </row>
    <row r="1259" spans="7:7" x14ac:dyDescent="0.3">
      <c r="G1259" s="98"/>
    </row>
    <row r="1260" spans="7:7" x14ac:dyDescent="0.3">
      <c r="G1260" s="98"/>
    </row>
    <row r="1261" spans="7:7" x14ac:dyDescent="0.3">
      <c r="G1261" s="98"/>
    </row>
    <row r="1262" spans="7:7" x14ac:dyDescent="0.3">
      <c r="G1262" s="98"/>
    </row>
    <row r="1263" spans="7:7" x14ac:dyDescent="0.3">
      <c r="G1263" s="98"/>
    </row>
    <row r="1264" spans="7:7" x14ac:dyDescent="0.3">
      <c r="G1264" s="98"/>
    </row>
    <row r="1265" spans="7:7" x14ac:dyDescent="0.3">
      <c r="G1265" s="98"/>
    </row>
    <row r="1266" spans="7:7" x14ac:dyDescent="0.3">
      <c r="G1266" s="98"/>
    </row>
    <row r="1267" spans="7:7" x14ac:dyDescent="0.3">
      <c r="G1267" s="98"/>
    </row>
    <row r="1268" spans="7:7" x14ac:dyDescent="0.3">
      <c r="G1268" s="98"/>
    </row>
    <row r="1269" spans="7:7" x14ac:dyDescent="0.3">
      <c r="G1269" s="98"/>
    </row>
    <row r="1270" spans="7:7" x14ac:dyDescent="0.3">
      <c r="G1270" s="98"/>
    </row>
    <row r="1271" spans="7:7" x14ac:dyDescent="0.3">
      <c r="G1271" s="98"/>
    </row>
    <row r="1272" spans="7:7" x14ac:dyDescent="0.3">
      <c r="G1272" s="98"/>
    </row>
    <row r="1273" spans="7:7" x14ac:dyDescent="0.3">
      <c r="G1273" s="98"/>
    </row>
    <row r="1274" spans="7:7" x14ac:dyDescent="0.3">
      <c r="G1274" s="98"/>
    </row>
    <row r="1275" spans="7:7" x14ac:dyDescent="0.3">
      <c r="G1275" s="98"/>
    </row>
    <row r="1276" spans="7:7" x14ac:dyDescent="0.3">
      <c r="G1276" s="98"/>
    </row>
    <row r="1277" spans="7:7" x14ac:dyDescent="0.3">
      <c r="G1277" s="98"/>
    </row>
    <row r="1278" spans="7:7" x14ac:dyDescent="0.3">
      <c r="G1278" s="98"/>
    </row>
    <row r="1279" spans="7:7" x14ac:dyDescent="0.3">
      <c r="G1279" s="98"/>
    </row>
    <row r="1280" spans="7:7" x14ac:dyDescent="0.3">
      <c r="G1280" s="98"/>
    </row>
    <row r="1281" spans="7:7" x14ac:dyDescent="0.3">
      <c r="G1281" s="98"/>
    </row>
    <row r="1282" spans="7:7" x14ac:dyDescent="0.3">
      <c r="G1282" s="98"/>
    </row>
    <row r="1283" spans="7:7" x14ac:dyDescent="0.3">
      <c r="G1283" s="98"/>
    </row>
    <row r="1284" spans="7:7" x14ac:dyDescent="0.3">
      <c r="G1284" s="98"/>
    </row>
    <row r="1285" spans="7:7" x14ac:dyDescent="0.3">
      <c r="G1285" s="98"/>
    </row>
    <row r="1286" spans="7:7" x14ac:dyDescent="0.3">
      <c r="G1286" s="98"/>
    </row>
    <row r="1287" spans="7:7" x14ac:dyDescent="0.3">
      <c r="G1287" s="98"/>
    </row>
    <row r="1288" spans="7:7" x14ac:dyDescent="0.3">
      <c r="G1288" s="98"/>
    </row>
    <row r="1289" spans="7:7" x14ac:dyDescent="0.3">
      <c r="G1289" s="98"/>
    </row>
    <row r="1290" spans="7:7" x14ac:dyDescent="0.3">
      <c r="G1290" s="98"/>
    </row>
    <row r="1291" spans="7:7" x14ac:dyDescent="0.3">
      <c r="G1291" s="98"/>
    </row>
    <row r="1292" spans="7:7" x14ac:dyDescent="0.3">
      <c r="G1292" s="98"/>
    </row>
    <row r="1293" spans="7:7" x14ac:dyDescent="0.3">
      <c r="G1293" s="98"/>
    </row>
    <row r="1294" spans="7:7" x14ac:dyDescent="0.3">
      <c r="G1294" s="98"/>
    </row>
    <row r="1295" spans="7:7" x14ac:dyDescent="0.3">
      <c r="G1295" s="98"/>
    </row>
    <row r="1296" spans="7:7" x14ac:dyDescent="0.3">
      <c r="G1296" s="98"/>
    </row>
    <row r="1297" spans="7:7" x14ac:dyDescent="0.3">
      <c r="G1297" s="98"/>
    </row>
    <row r="1298" spans="7:7" x14ac:dyDescent="0.3">
      <c r="G1298" s="98"/>
    </row>
    <row r="1299" spans="7:7" x14ac:dyDescent="0.3">
      <c r="G1299" s="98"/>
    </row>
    <row r="1300" spans="7:7" x14ac:dyDescent="0.3">
      <c r="G1300" s="98"/>
    </row>
    <row r="1301" spans="7:7" x14ac:dyDescent="0.3">
      <c r="G1301" s="98"/>
    </row>
    <row r="1302" spans="7:7" x14ac:dyDescent="0.3">
      <c r="G1302" s="98"/>
    </row>
    <row r="1303" spans="7:7" x14ac:dyDescent="0.3">
      <c r="G1303" s="98"/>
    </row>
    <row r="1304" spans="7:7" x14ac:dyDescent="0.3">
      <c r="G1304" s="98"/>
    </row>
    <row r="1305" spans="7:7" x14ac:dyDescent="0.3">
      <c r="G1305" s="98"/>
    </row>
    <row r="1306" spans="7:7" x14ac:dyDescent="0.3">
      <c r="G1306" s="98"/>
    </row>
    <row r="1307" spans="7:7" x14ac:dyDescent="0.3">
      <c r="G1307" s="98"/>
    </row>
    <row r="1308" spans="7:7" x14ac:dyDescent="0.3">
      <c r="G1308" s="98"/>
    </row>
    <row r="1309" spans="7:7" x14ac:dyDescent="0.3">
      <c r="G1309" s="98"/>
    </row>
    <row r="1310" spans="7:7" x14ac:dyDescent="0.3">
      <c r="G1310" s="98"/>
    </row>
    <row r="1311" spans="7:7" x14ac:dyDescent="0.3">
      <c r="G1311" s="98"/>
    </row>
    <row r="1312" spans="7:7" x14ac:dyDescent="0.3">
      <c r="G1312" s="98"/>
    </row>
    <row r="1313" spans="7:7" x14ac:dyDescent="0.3">
      <c r="G1313" s="98"/>
    </row>
    <row r="1314" spans="7:7" x14ac:dyDescent="0.3">
      <c r="G1314" s="98"/>
    </row>
    <row r="1315" spans="7:7" x14ac:dyDescent="0.3">
      <c r="G1315" s="98"/>
    </row>
    <row r="1316" spans="7:7" x14ac:dyDescent="0.3">
      <c r="G1316" s="98"/>
    </row>
    <row r="1317" spans="7:7" x14ac:dyDescent="0.3">
      <c r="G1317" s="98"/>
    </row>
    <row r="1318" spans="7:7" x14ac:dyDescent="0.3">
      <c r="G1318" s="98"/>
    </row>
    <row r="1319" spans="7:7" x14ac:dyDescent="0.3">
      <c r="G1319" s="98"/>
    </row>
    <row r="1320" spans="7:7" x14ac:dyDescent="0.3">
      <c r="G1320" s="98"/>
    </row>
    <row r="1321" spans="7:7" x14ac:dyDescent="0.3">
      <c r="G1321" s="98"/>
    </row>
    <row r="1322" spans="7:7" x14ac:dyDescent="0.3">
      <c r="G1322" s="98"/>
    </row>
    <row r="1323" spans="7:7" x14ac:dyDescent="0.3">
      <c r="G1323" s="98"/>
    </row>
    <row r="1324" spans="7:7" x14ac:dyDescent="0.3">
      <c r="G1324" s="98"/>
    </row>
    <row r="1325" spans="7:7" x14ac:dyDescent="0.3">
      <c r="G1325" s="98"/>
    </row>
    <row r="1326" spans="7:7" x14ac:dyDescent="0.3">
      <c r="G1326" s="98"/>
    </row>
    <row r="1327" spans="7:7" x14ac:dyDescent="0.3">
      <c r="G1327" s="98"/>
    </row>
    <row r="1328" spans="7:7" x14ac:dyDescent="0.3">
      <c r="G1328" s="98"/>
    </row>
    <row r="1329" spans="7:7" x14ac:dyDescent="0.3">
      <c r="G1329" s="98"/>
    </row>
    <row r="1330" spans="7:7" x14ac:dyDescent="0.3">
      <c r="G1330" s="98"/>
    </row>
    <row r="1331" spans="7:7" x14ac:dyDescent="0.3">
      <c r="G1331" s="98"/>
    </row>
    <row r="1332" spans="7:7" x14ac:dyDescent="0.3">
      <c r="G1332" s="98"/>
    </row>
    <row r="1333" spans="7:7" x14ac:dyDescent="0.3">
      <c r="G1333" s="98"/>
    </row>
    <row r="1334" spans="7:7" x14ac:dyDescent="0.3">
      <c r="G1334" s="98"/>
    </row>
    <row r="1335" spans="7:7" x14ac:dyDescent="0.3">
      <c r="G1335" s="98"/>
    </row>
    <row r="1336" spans="7:7" x14ac:dyDescent="0.3">
      <c r="G1336" s="98"/>
    </row>
    <row r="1337" spans="7:7" x14ac:dyDescent="0.3">
      <c r="G1337" s="98"/>
    </row>
    <row r="1338" spans="7:7" x14ac:dyDescent="0.3">
      <c r="G1338" s="98"/>
    </row>
    <row r="1339" spans="7:7" x14ac:dyDescent="0.3">
      <c r="G1339" s="98"/>
    </row>
    <row r="1340" spans="7:7" x14ac:dyDescent="0.3">
      <c r="G1340" s="98"/>
    </row>
    <row r="1341" spans="7:7" x14ac:dyDescent="0.3">
      <c r="G1341" s="98"/>
    </row>
    <row r="1342" spans="7:7" x14ac:dyDescent="0.3">
      <c r="G1342" s="98"/>
    </row>
    <row r="1343" spans="7:7" x14ac:dyDescent="0.3">
      <c r="G1343" s="98"/>
    </row>
    <row r="1344" spans="7:7" x14ac:dyDescent="0.3">
      <c r="G1344" s="98"/>
    </row>
    <row r="1345" spans="7:7" x14ac:dyDescent="0.3">
      <c r="G1345" s="98"/>
    </row>
    <row r="1346" spans="7:7" x14ac:dyDescent="0.3">
      <c r="G1346" s="98"/>
    </row>
    <row r="1347" spans="7:7" x14ac:dyDescent="0.3">
      <c r="G1347" s="98"/>
    </row>
    <row r="1348" spans="7:7" x14ac:dyDescent="0.3">
      <c r="G1348" s="98"/>
    </row>
    <row r="1349" spans="7:7" x14ac:dyDescent="0.3">
      <c r="G1349" s="98"/>
    </row>
    <row r="1350" spans="7:7" x14ac:dyDescent="0.3">
      <c r="G1350" s="98"/>
    </row>
    <row r="1351" spans="7:7" x14ac:dyDescent="0.3">
      <c r="G1351" s="98"/>
    </row>
    <row r="1352" spans="7:7" x14ac:dyDescent="0.3">
      <c r="G1352" s="98"/>
    </row>
    <row r="1353" spans="7:7" x14ac:dyDescent="0.3">
      <c r="G1353" s="98"/>
    </row>
    <row r="1354" spans="7:7" x14ac:dyDescent="0.3">
      <c r="G1354" s="98"/>
    </row>
    <row r="1355" spans="7:7" x14ac:dyDescent="0.3">
      <c r="G1355" s="98"/>
    </row>
    <row r="1356" spans="7:7" x14ac:dyDescent="0.3">
      <c r="G1356" s="98"/>
    </row>
    <row r="1357" spans="7:7" x14ac:dyDescent="0.3">
      <c r="G1357" s="98"/>
    </row>
    <row r="1358" spans="7:7" x14ac:dyDescent="0.3">
      <c r="G1358" s="98"/>
    </row>
    <row r="1359" spans="7:7" x14ac:dyDescent="0.3">
      <c r="G1359" s="98"/>
    </row>
    <row r="1360" spans="7:7" x14ac:dyDescent="0.3">
      <c r="G1360" s="98"/>
    </row>
    <row r="1361" spans="7:7" x14ac:dyDescent="0.3">
      <c r="G1361" s="98"/>
    </row>
    <row r="1362" spans="7:7" x14ac:dyDescent="0.3">
      <c r="G1362" s="98"/>
    </row>
    <row r="1363" spans="7:7" x14ac:dyDescent="0.3">
      <c r="G1363" s="98"/>
    </row>
    <row r="1364" spans="7:7" x14ac:dyDescent="0.3">
      <c r="G1364" s="98"/>
    </row>
    <row r="1365" spans="7:7" x14ac:dyDescent="0.3">
      <c r="G1365" s="98"/>
    </row>
    <row r="1366" spans="7:7" x14ac:dyDescent="0.3">
      <c r="G1366" s="98"/>
    </row>
    <row r="1367" spans="7:7" x14ac:dyDescent="0.3">
      <c r="G1367" s="98"/>
    </row>
    <row r="1368" spans="7:7" x14ac:dyDescent="0.3">
      <c r="G1368" s="98"/>
    </row>
    <row r="1369" spans="7:7" x14ac:dyDescent="0.3">
      <c r="G1369" s="98"/>
    </row>
    <row r="1370" spans="7:7" x14ac:dyDescent="0.3">
      <c r="G1370" s="98"/>
    </row>
    <row r="1371" spans="7:7" x14ac:dyDescent="0.3">
      <c r="G1371" s="98"/>
    </row>
    <row r="1372" spans="7:7" x14ac:dyDescent="0.3">
      <c r="G1372" s="98"/>
    </row>
    <row r="1373" spans="7:7" x14ac:dyDescent="0.3">
      <c r="G1373" s="98"/>
    </row>
    <row r="1374" spans="7:7" x14ac:dyDescent="0.3">
      <c r="G1374" s="98"/>
    </row>
    <row r="1375" spans="7:7" x14ac:dyDescent="0.3">
      <c r="G1375" s="98"/>
    </row>
    <row r="1376" spans="7:7" x14ac:dyDescent="0.3">
      <c r="G1376" s="98"/>
    </row>
    <row r="1377" spans="7:7" x14ac:dyDescent="0.3">
      <c r="G1377" s="98"/>
    </row>
    <row r="1378" spans="7:7" x14ac:dyDescent="0.3">
      <c r="G1378" s="98"/>
    </row>
    <row r="1379" spans="7:7" x14ac:dyDescent="0.3">
      <c r="G1379" s="98"/>
    </row>
    <row r="1380" spans="7:7" x14ac:dyDescent="0.3">
      <c r="G1380" s="98"/>
    </row>
    <row r="1381" spans="7:7" x14ac:dyDescent="0.3">
      <c r="G1381" s="98"/>
    </row>
    <row r="1382" spans="7:7" x14ac:dyDescent="0.3">
      <c r="G1382" s="98"/>
    </row>
    <row r="1383" spans="7:7" x14ac:dyDescent="0.3">
      <c r="G1383" s="98"/>
    </row>
    <row r="1384" spans="7:7" x14ac:dyDescent="0.3">
      <c r="G1384" s="98"/>
    </row>
    <row r="1385" spans="7:7" x14ac:dyDescent="0.3">
      <c r="G1385" s="98"/>
    </row>
    <row r="1386" spans="7:7" x14ac:dyDescent="0.3">
      <c r="G1386" s="98"/>
    </row>
    <row r="1387" spans="7:7" x14ac:dyDescent="0.3">
      <c r="G1387" s="98"/>
    </row>
    <row r="1388" spans="7:7" x14ac:dyDescent="0.3">
      <c r="G1388" s="98"/>
    </row>
    <row r="1389" spans="7:7" x14ac:dyDescent="0.3">
      <c r="G1389" s="98"/>
    </row>
    <row r="1390" spans="7:7" x14ac:dyDescent="0.3">
      <c r="G1390" s="98"/>
    </row>
    <row r="1391" spans="7:7" x14ac:dyDescent="0.3">
      <c r="G1391" s="98"/>
    </row>
    <row r="1392" spans="7:7" x14ac:dyDescent="0.3">
      <c r="G1392" s="98"/>
    </row>
    <row r="1393" spans="7:7" x14ac:dyDescent="0.3">
      <c r="G1393" s="98"/>
    </row>
    <row r="1394" spans="7:7" x14ac:dyDescent="0.3">
      <c r="G1394" s="98"/>
    </row>
    <row r="1395" spans="7:7" x14ac:dyDescent="0.3">
      <c r="G1395" s="98"/>
    </row>
    <row r="1396" spans="7:7" x14ac:dyDescent="0.3">
      <c r="G1396" s="98"/>
    </row>
    <row r="1397" spans="7:7" x14ac:dyDescent="0.3">
      <c r="G1397" s="98"/>
    </row>
    <row r="1398" spans="7:7" x14ac:dyDescent="0.3">
      <c r="G1398" s="98"/>
    </row>
    <row r="1399" spans="7:7" x14ac:dyDescent="0.3">
      <c r="G1399" s="98"/>
    </row>
    <row r="1400" spans="7:7" x14ac:dyDescent="0.3">
      <c r="G1400" s="98"/>
    </row>
    <row r="1401" spans="7:7" x14ac:dyDescent="0.3">
      <c r="G1401" s="98"/>
    </row>
    <row r="1402" spans="7:7" x14ac:dyDescent="0.3">
      <c r="G1402" s="98"/>
    </row>
    <row r="1403" spans="7:7" x14ac:dyDescent="0.3">
      <c r="G1403" s="98"/>
    </row>
    <row r="1404" spans="7:7" x14ac:dyDescent="0.3">
      <c r="G1404" s="98"/>
    </row>
    <row r="1405" spans="7:7" x14ac:dyDescent="0.3">
      <c r="G1405" s="98"/>
    </row>
    <row r="1406" spans="7:7" x14ac:dyDescent="0.3">
      <c r="G1406" s="98"/>
    </row>
    <row r="1407" spans="7:7" x14ac:dyDescent="0.3">
      <c r="G1407" s="98"/>
    </row>
    <row r="1408" spans="7:7" x14ac:dyDescent="0.3">
      <c r="G1408" s="98"/>
    </row>
    <row r="1409" spans="7:7" x14ac:dyDescent="0.3">
      <c r="G1409" s="98"/>
    </row>
    <row r="1410" spans="7:7" x14ac:dyDescent="0.3">
      <c r="G1410" s="98"/>
    </row>
    <row r="1411" spans="7:7" x14ac:dyDescent="0.3">
      <c r="G1411" s="98"/>
    </row>
    <row r="1412" spans="7:7" x14ac:dyDescent="0.3">
      <c r="G1412" s="98"/>
    </row>
    <row r="1413" spans="7:7" x14ac:dyDescent="0.3">
      <c r="G1413" s="98"/>
    </row>
    <row r="1414" spans="7:7" x14ac:dyDescent="0.3">
      <c r="G1414" s="98"/>
    </row>
    <row r="1415" spans="7:7" x14ac:dyDescent="0.3">
      <c r="G1415" s="98"/>
    </row>
    <row r="1416" spans="7:7" x14ac:dyDescent="0.3">
      <c r="G1416" s="98"/>
    </row>
    <row r="1417" spans="7:7" x14ac:dyDescent="0.3">
      <c r="G1417" s="98"/>
    </row>
    <row r="1418" spans="7:7" x14ac:dyDescent="0.3">
      <c r="G1418" s="98"/>
    </row>
    <row r="1419" spans="7:7" x14ac:dyDescent="0.3">
      <c r="G1419" s="98"/>
    </row>
    <row r="1420" spans="7:7" x14ac:dyDescent="0.3">
      <c r="G1420" s="98"/>
    </row>
    <row r="1421" spans="7:7" x14ac:dyDescent="0.3">
      <c r="G1421" s="98"/>
    </row>
    <row r="1422" spans="7:7" x14ac:dyDescent="0.3">
      <c r="G1422" s="98"/>
    </row>
    <row r="1423" spans="7:7" x14ac:dyDescent="0.3">
      <c r="G1423" s="98"/>
    </row>
    <row r="1424" spans="7:7" x14ac:dyDescent="0.3">
      <c r="G1424" s="98"/>
    </row>
    <row r="1425" spans="7:7" x14ac:dyDescent="0.3">
      <c r="G1425" s="98"/>
    </row>
    <row r="1426" spans="7:7" x14ac:dyDescent="0.3">
      <c r="G1426" s="98"/>
    </row>
    <row r="1427" spans="7:7" x14ac:dyDescent="0.3">
      <c r="G1427" s="98"/>
    </row>
    <row r="1428" spans="7:7" x14ac:dyDescent="0.3">
      <c r="G1428" s="98"/>
    </row>
    <row r="1429" spans="7:7" x14ac:dyDescent="0.3">
      <c r="G1429" s="98"/>
    </row>
    <row r="1430" spans="7:7" x14ac:dyDescent="0.3">
      <c r="G1430" s="98"/>
    </row>
    <row r="1431" spans="7:7" x14ac:dyDescent="0.3">
      <c r="G1431" s="98"/>
    </row>
    <row r="1432" spans="7:7" x14ac:dyDescent="0.3">
      <c r="G1432" s="98"/>
    </row>
    <row r="1433" spans="7:7" x14ac:dyDescent="0.3">
      <c r="G1433" s="98"/>
    </row>
    <row r="1434" spans="7:7" x14ac:dyDescent="0.3">
      <c r="G1434" s="98"/>
    </row>
    <row r="1435" spans="7:7" x14ac:dyDescent="0.3">
      <c r="G1435" s="98"/>
    </row>
    <row r="1436" spans="7:7" x14ac:dyDescent="0.3">
      <c r="G1436" s="98"/>
    </row>
    <row r="1437" spans="7:7" x14ac:dyDescent="0.3">
      <c r="G1437" s="98"/>
    </row>
    <row r="1438" spans="7:7" x14ac:dyDescent="0.3">
      <c r="G1438" s="98"/>
    </row>
    <row r="1439" spans="7:7" x14ac:dyDescent="0.3">
      <c r="G1439" s="98"/>
    </row>
    <row r="1440" spans="7:7" x14ac:dyDescent="0.3">
      <c r="G1440" s="98"/>
    </row>
    <row r="1441" spans="7:7" x14ac:dyDescent="0.3">
      <c r="G1441" s="98"/>
    </row>
    <row r="1442" spans="7:7" x14ac:dyDescent="0.3">
      <c r="G1442" s="98"/>
    </row>
    <row r="1443" spans="7:7" x14ac:dyDescent="0.3">
      <c r="G1443" s="98"/>
    </row>
    <row r="1444" spans="7:7" x14ac:dyDescent="0.3">
      <c r="G1444" s="98"/>
    </row>
    <row r="1445" spans="7:7" x14ac:dyDescent="0.3">
      <c r="G1445" s="98"/>
    </row>
    <row r="1446" spans="7:7" x14ac:dyDescent="0.3">
      <c r="G1446" s="98"/>
    </row>
    <row r="1447" spans="7:7" x14ac:dyDescent="0.3">
      <c r="G1447" s="98"/>
    </row>
    <row r="1448" spans="7:7" x14ac:dyDescent="0.3">
      <c r="G1448" s="98"/>
    </row>
    <row r="1449" spans="7:7" x14ac:dyDescent="0.3">
      <c r="G1449" s="98"/>
    </row>
    <row r="1450" spans="7:7" x14ac:dyDescent="0.3">
      <c r="G1450" s="98"/>
    </row>
    <row r="1451" spans="7:7" x14ac:dyDescent="0.3">
      <c r="G1451" s="98"/>
    </row>
    <row r="1452" spans="7:7" x14ac:dyDescent="0.3">
      <c r="G1452" s="98"/>
    </row>
    <row r="1453" spans="7:7" x14ac:dyDescent="0.3">
      <c r="G1453" s="98"/>
    </row>
    <row r="1454" spans="7:7" x14ac:dyDescent="0.3">
      <c r="G1454" s="98"/>
    </row>
    <row r="1455" spans="7:7" x14ac:dyDescent="0.3">
      <c r="G1455" s="98"/>
    </row>
    <row r="1456" spans="7:7" x14ac:dyDescent="0.3">
      <c r="G1456" s="98"/>
    </row>
    <row r="1457" spans="7:7" x14ac:dyDescent="0.3">
      <c r="G1457" s="98"/>
    </row>
    <row r="1458" spans="7:7" x14ac:dyDescent="0.3">
      <c r="G1458" s="98"/>
    </row>
    <row r="1459" spans="7:7" x14ac:dyDescent="0.3">
      <c r="G1459" s="98"/>
    </row>
    <row r="1460" spans="7:7" x14ac:dyDescent="0.3">
      <c r="G1460" s="98"/>
    </row>
    <row r="1461" spans="7:7" x14ac:dyDescent="0.3">
      <c r="G1461" s="98"/>
    </row>
    <row r="1462" spans="7:7" x14ac:dyDescent="0.3">
      <c r="G1462" s="98"/>
    </row>
    <row r="1463" spans="7:7" x14ac:dyDescent="0.3">
      <c r="G1463" s="98"/>
    </row>
    <row r="1464" spans="7:7" x14ac:dyDescent="0.3">
      <c r="G1464" s="98"/>
    </row>
    <row r="1465" spans="7:7" x14ac:dyDescent="0.3">
      <c r="G1465" s="98"/>
    </row>
    <row r="1466" spans="7:7" x14ac:dyDescent="0.3">
      <c r="G1466" s="98"/>
    </row>
    <row r="1467" spans="7:7" x14ac:dyDescent="0.3">
      <c r="G1467" s="98"/>
    </row>
    <row r="1468" spans="7:7" x14ac:dyDescent="0.3">
      <c r="G1468" s="98"/>
    </row>
    <row r="1469" spans="7:7" x14ac:dyDescent="0.3">
      <c r="G1469" s="98"/>
    </row>
    <row r="1470" spans="7:7" x14ac:dyDescent="0.3">
      <c r="G1470" s="98"/>
    </row>
    <row r="1471" spans="7:7" x14ac:dyDescent="0.3">
      <c r="G1471" s="98"/>
    </row>
    <row r="1472" spans="7:7" x14ac:dyDescent="0.3">
      <c r="G1472" s="98"/>
    </row>
    <row r="1473" spans="7:7" x14ac:dyDescent="0.3">
      <c r="G1473" s="98"/>
    </row>
    <row r="1474" spans="7:7" x14ac:dyDescent="0.3">
      <c r="G1474" s="98"/>
    </row>
    <row r="1475" spans="7:7" x14ac:dyDescent="0.3">
      <c r="G1475" s="98"/>
    </row>
    <row r="1476" spans="7:7" x14ac:dyDescent="0.3">
      <c r="G1476" s="98"/>
    </row>
    <row r="1477" spans="7:7" x14ac:dyDescent="0.3">
      <c r="G1477" s="98"/>
    </row>
    <row r="1478" spans="7:7" x14ac:dyDescent="0.3">
      <c r="G1478" s="98"/>
    </row>
    <row r="1479" spans="7:7" x14ac:dyDescent="0.3">
      <c r="G1479" s="98"/>
    </row>
    <row r="1480" spans="7:7" x14ac:dyDescent="0.3">
      <c r="G1480" s="98"/>
    </row>
    <row r="1481" spans="7:7" x14ac:dyDescent="0.3">
      <c r="G1481" s="98"/>
    </row>
    <row r="1482" spans="7:7" x14ac:dyDescent="0.3">
      <c r="G1482" s="98"/>
    </row>
    <row r="1483" spans="7:7" x14ac:dyDescent="0.3">
      <c r="G1483" s="98"/>
    </row>
    <row r="1484" spans="7:7" x14ac:dyDescent="0.3">
      <c r="G1484" s="98"/>
    </row>
    <row r="1485" spans="7:7" x14ac:dyDescent="0.3">
      <c r="G1485" s="98"/>
    </row>
    <row r="1486" spans="7:7" x14ac:dyDescent="0.3">
      <c r="G1486" s="98"/>
    </row>
    <row r="1487" spans="7:7" x14ac:dyDescent="0.3">
      <c r="G1487" s="98"/>
    </row>
    <row r="1488" spans="7:7" x14ac:dyDescent="0.3">
      <c r="G1488" s="98"/>
    </row>
    <row r="1489" spans="7:7" x14ac:dyDescent="0.3">
      <c r="G1489" s="98"/>
    </row>
    <row r="1490" spans="7:7" x14ac:dyDescent="0.3">
      <c r="G1490" s="98"/>
    </row>
    <row r="1491" spans="7:7" x14ac:dyDescent="0.3">
      <c r="G1491" s="98"/>
    </row>
    <row r="1492" spans="7:7" x14ac:dyDescent="0.3">
      <c r="G1492" s="98"/>
    </row>
    <row r="1493" spans="7:7" x14ac:dyDescent="0.3">
      <c r="G1493" s="98"/>
    </row>
    <row r="1494" spans="7:7" x14ac:dyDescent="0.3">
      <c r="G1494" s="98"/>
    </row>
    <row r="1495" spans="7:7" x14ac:dyDescent="0.3">
      <c r="G1495" s="98"/>
    </row>
    <row r="1496" spans="7:7" x14ac:dyDescent="0.3">
      <c r="G1496" s="98"/>
    </row>
    <row r="1497" spans="7:7" x14ac:dyDescent="0.3">
      <c r="G1497" s="98"/>
    </row>
    <row r="1498" spans="7:7" x14ac:dyDescent="0.3">
      <c r="G1498" s="98"/>
    </row>
    <row r="1499" spans="7:7" x14ac:dyDescent="0.3">
      <c r="G1499" s="98"/>
    </row>
    <row r="1500" spans="7:7" x14ac:dyDescent="0.3">
      <c r="G1500" s="98"/>
    </row>
    <row r="1501" spans="7:7" x14ac:dyDescent="0.3">
      <c r="G1501" s="98"/>
    </row>
    <row r="1502" spans="7:7" x14ac:dyDescent="0.3">
      <c r="G1502" s="98"/>
    </row>
    <row r="1503" spans="7:7" x14ac:dyDescent="0.3">
      <c r="G1503" s="98"/>
    </row>
    <row r="1504" spans="7:7" x14ac:dyDescent="0.3">
      <c r="G1504" s="98"/>
    </row>
    <row r="1505" spans="7:7" x14ac:dyDescent="0.3">
      <c r="G1505" s="98"/>
    </row>
    <row r="1506" spans="7:7" x14ac:dyDescent="0.3">
      <c r="G1506" s="98"/>
    </row>
    <row r="1507" spans="7:7" x14ac:dyDescent="0.3">
      <c r="G1507" s="98"/>
    </row>
    <row r="1508" spans="7:7" x14ac:dyDescent="0.3">
      <c r="G1508" s="98"/>
    </row>
    <row r="1509" spans="7:7" x14ac:dyDescent="0.3">
      <c r="G1509" s="98"/>
    </row>
    <row r="1510" spans="7:7" x14ac:dyDescent="0.3">
      <c r="G1510" s="98"/>
    </row>
    <row r="1511" spans="7:7" x14ac:dyDescent="0.3">
      <c r="G1511" s="98"/>
    </row>
    <row r="1512" spans="7:7" x14ac:dyDescent="0.3">
      <c r="G1512" s="98"/>
    </row>
    <row r="1513" spans="7:7" x14ac:dyDescent="0.3">
      <c r="G1513" s="98"/>
    </row>
    <row r="1514" spans="7:7" x14ac:dyDescent="0.3">
      <c r="G1514" s="98"/>
    </row>
    <row r="1515" spans="7:7" x14ac:dyDescent="0.3">
      <c r="G1515" s="98"/>
    </row>
    <row r="1516" spans="7:7" x14ac:dyDescent="0.3">
      <c r="G1516" s="98"/>
    </row>
    <row r="1517" spans="7:7" x14ac:dyDescent="0.3">
      <c r="G1517" s="98"/>
    </row>
    <row r="1518" spans="7:7" x14ac:dyDescent="0.3">
      <c r="G1518" s="98"/>
    </row>
    <row r="1519" spans="7:7" x14ac:dyDescent="0.3">
      <c r="G1519" s="98"/>
    </row>
    <row r="1520" spans="7:7" x14ac:dyDescent="0.3">
      <c r="G1520" s="98"/>
    </row>
    <row r="1521" spans="7:7" x14ac:dyDescent="0.3">
      <c r="G1521" s="98"/>
    </row>
    <row r="1522" spans="7:7" x14ac:dyDescent="0.3">
      <c r="G1522" s="98"/>
    </row>
    <row r="1523" spans="7:7" x14ac:dyDescent="0.3">
      <c r="G1523" s="98"/>
    </row>
    <row r="1524" spans="7:7" x14ac:dyDescent="0.3">
      <c r="G1524" s="98"/>
    </row>
    <row r="1525" spans="7:7" x14ac:dyDescent="0.3">
      <c r="G1525" s="98"/>
    </row>
    <row r="1526" spans="7:7" x14ac:dyDescent="0.3">
      <c r="G1526" s="98"/>
    </row>
    <row r="1527" spans="7:7" x14ac:dyDescent="0.3">
      <c r="G1527" s="98"/>
    </row>
    <row r="1528" spans="7:7" x14ac:dyDescent="0.3">
      <c r="G1528" s="98"/>
    </row>
    <row r="1529" spans="7:7" x14ac:dyDescent="0.3">
      <c r="G1529" s="98"/>
    </row>
    <row r="1530" spans="7:7" x14ac:dyDescent="0.3">
      <c r="G1530" s="98"/>
    </row>
    <row r="1531" spans="7:7" x14ac:dyDescent="0.3">
      <c r="G1531" s="98"/>
    </row>
    <row r="1532" spans="7:7" x14ac:dyDescent="0.3">
      <c r="G1532" s="98"/>
    </row>
    <row r="1533" spans="7:7" x14ac:dyDescent="0.3">
      <c r="G1533" s="98"/>
    </row>
    <row r="1534" spans="7:7" x14ac:dyDescent="0.3">
      <c r="G1534" s="98"/>
    </row>
    <row r="1535" spans="7:7" x14ac:dyDescent="0.3">
      <c r="G1535" s="98"/>
    </row>
    <row r="1536" spans="7:7" x14ac:dyDescent="0.3">
      <c r="G1536" s="98"/>
    </row>
    <row r="1537" spans="7:7" x14ac:dyDescent="0.3">
      <c r="G1537" s="98"/>
    </row>
    <row r="1538" spans="7:7" x14ac:dyDescent="0.3">
      <c r="G1538" s="98"/>
    </row>
    <row r="1539" spans="7:7" x14ac:dyDescent="0.3">
      <c r="G1539" s="98"/>
    </row>
    <row r="1540" spans="7:7" x14ac:dyDescent="0.3">
      <c r="G1540" s="98"/>
    </row>
    <row r="1541" spans="7:7" x14ac:dyDescent="0.3">
      <c r="G1541" s="98"/>
    </row>
    <row r="1542" spans="7:7" x14ac:dyDescent="0.3">
      <c r="G1542" s="98"/>
    </row>
    <row r="1543" spans="7:7" x14ac:dyDescent="0.3">
      <c r="G1543" s="98"/>
    </row>
    <row r="1544" spans="7:7" x14ac:dyDescent="0.3">
      <c r="G1544" s="98"/>
    </row>
    <row r="1545" spans="7:7" x14ac:dyDescent="0.3">
      <c r="G1545" s="98"/>
    </row>
    <row r="1546" spans="7:7" x14ac:dyDescent="0.3">
      <c r="G1546" s="98"/>
    </row>
    <row r="1547" spans="7:7" x14ac:dyDescent="0.3">
      <c r="G1547" s="98"/>
    </row>
    <row r="1548" spans="7:7" x14ac:dyDescent="0.3">
      <c r="G1548" s="98"/>
    </row>
    <row r="1549" spans="7:7" x14ac:dyDescent="0.3">
      <c r="G1549" s="98"/>
    </row>
    <row r="1550" spans="7:7" x14ac:dyDescent="0.3">
      <c r="G1550" s="98"/>
    </row>
    <row r="1551" spans="7:7" x14ac:dyDescent="0.3">
      <c r="G1551" s="98"/>
    </row>
    <row r="1552" spans="7:7" x14ac:dyDescent="0.3">
      <c r="G1552" s="98"/>
    </row>
    <row r="1553" spans="7:7" x14ac:dyDescent="0.3">
      <c r="G1553" s="98"/>
    </row>
    <row r="1554" spans="7:7" x14ac:dyDescent="0.3">
      <c r="G1554" s="98"/>
    </row>
    <row r="1555" spans="7:7" x14ac:dyDescent="0.3">
      <c r="G1555" s="98"/>
    </row>
    <row r="1556" spans="7:7" x14ac:dyDescent="0.3">
      <c r="G1556" s="98"/>
    </row>
    <row r="1557" spans="7:7" x14ac:dyDescent="0.3">
      <c r="G1557" s="98"/>
    </row>
    <row r="1558" spans="7:7" x14ac:dyDescent="0.3">
      <c r="G1558" s="98"/>
    </row>
    <row r="1559" spans="7:7" x14ac:dyDescent="0.3">
      <c r="G1559" s="98"/>
    </row>
    <row r="1560" spans="7:7" x14ac:dyDescent="0.3">
      <c r="G1560" s="98"/>
    </row>
    <row r="1561" spans="7:7" x14ac:dyDescent="0.3">
      <c r="G1561" s="98"/>
    </row>
    <row r="1562" spans="7:7" x14ac:dyDescent="0.3">
      <c r="G1562" s="98"/>
    </row>
    <row r="1563" spans="7:7" x14ac:dyDescent="0.3">
      <c r="G1563" s="98"/>
    </row>
    <row r="1564" spans="7:7" x14ac:dyDescent="0.3">
      <c r="G1564" s="98"/>
    </row>
    <row r="1565" spans="7:7" x14ac:dyDescent="0.3">
      <c r="G1565" s="98"/>
    </row>
    <row r="1566" spans="7:7" x14ac:dyDescent="0.3">
      <c r="G1566" s="98"/>
    </row>
    <row r="1567" spans="7:7" x14ac:dyDescent="0.3">
      <c r="G1567" s="98"/>
    </row>
    <row r="1568" spans="7:7" x14ac:dyDescent="0.3">
      <c r="G1568" s="98"/>
    </row>
    <row r="1569" spans="7:7" x14ac:dyDescent="0.3">
      <c r="G1569" s="98"/>
    </row>
    <row r="1570" spans="7:7" x14ac:dyDescent="0.3">
      <c r="G1570" s="98"/>
    </row>
    <row r="1571" spans="7:7" x14ac:dyDescent="0.3">
      <c r="G1571" s="98"/>
    </row>
    <row r="1572" spans="7:7" x14ac:dyDescent="0.3">
      <c r="G1572" s="98"/>
    </row>
    <row r="1573" spans="7:7" x14ac:dyDescent="0.3">
      <c r="G1573" s="98"/>
    </row>
    <row r="1574" spans="7:7" x14ac:dyDescent="0.3">
      <c r="G1574" s="98"/>
    </row>
    <row r="1575" spans="7:7" x14ac:dyDescent="0.3">
      <c r="G1575" s="98"/>
    </row>
    <row r="1576" spans="7:7" x14ac:dyDescent="0.3">
      <c r="G1576" s="98"/>
    </row>
    <row r="1577" spans="7:7" x14ac:dyDescent="0.3">
      <c r="G1577" s="98"/>
    </row>
    <row r="1578" spans="7:7" x14ac:dyDescent="0.3">
      <c r="G1578" s="98"/>
    </row>
    <row r="1579" spans="7:7" x14ac:dyDescent="0.3">
      <c r="G1579" s="98"/>
    </row>
    <row r="1580" spans="7:7" x14ac:dyDescent="0.3">
      <c r="G1580" s="98"/>
    </row>
    <row r="1581" spans="7:7" x14ac:dyDescent="0.3">
      <c r="G1581" s="98"/>
    </row>
    <row r="1582" spans="7:7" x14ac:dyDescent="0.3">
      <c r="G1582" s="98"/>
    </row>
    <row r="1583" spans="7:7" x14ac:dyDescent="0.3">
      <c r="G1583" s="98"/>
    </row>
    <row r="1584" spans="7:7" x14ac:dyDescent="0.3">
      <c r="G1584" s="98"/>
    </row>
    <row r="1585" spans="7:7" x14ac:dyDescent="0.3">
      <c r="G1585" s="98"/>
    </row>
    <row r="1586" spans="7:7" x14ac:dyDescent="0.3">
      <c r="G1586" s="98"/>
    </row>
    <row r="1587" spans="7:7" x14ac:dyDescent="0.3">
      <c r="G1587" s="98"/>
    </row>
    <row r="1588" spans="7:7" x14ac:dyDescent="0.3">
      <c r="G1588" s="98"/>
    </row>
    <row r="1589" spans="7:7" x14ac:dyDescent="0.3">
      <c r="G1589" s="98"/>
    </row>
    <row r="1590" spans="7:7" x14ac:dyDescent="0.3">
      <c r="G1590" s="98"/>
    </row>
    <row r="1591" spans="7:7" x14ac:dyDescent="0.3">
      <c r="G1591" s="98"/>
    </row>
    <row r="1592" spans="7:7" x14ac:dyDescent="0.3">
      <c r="G1592" s="98"/>
    </row>
    <row r="1593" spans="7:7" x14ac:dyDescent="0.3">
      <c r="G1593" s="98"/>
    </row>
    <row r="1594" spans="7:7" x14ac:dyDescent="0.3">
      <c r="G1594" s="98"/>
    </row>
    <row r="1595" spans="7:7" x14ac:dyDescent="0.3">
      <c r="G1595" s="98"/>
    </row>
    <row r="1596" spans="7:7" x14ac:dyDescent="0.3">
      <c r="G1596" s="98"/>
    </row>
    <row r="1597" spans="7:7" x14ac:dyDescent="0.3">
      <c r="G1597" s="98"/>
    </row>
    <row r="1598" spans="7:7" x14ac:dyDescent="0.3">
      <c r="G1598" s="98"/>
    </row>
    <row r="1599" spans="7:7" x14ac:dyDescent="0.3">
      <c r="G1599" s="98"/>
    </row>
    <row r="1600" spans="7:7" x14ac:dyDescent="0.3">
      <c r="G1600" s="98"/>
    </row>
    <row r="1601" spans="7:7" x14ac:dyDescent="0.3">
      <c r="G1601" s="98"/>
    </row>
    <row r="1602" spans="7:7" x14ac:dyDescent="0.3">
      <c r="G1602" s="98"/>
    </row>
    <row r="1603" spans="7:7" x14ac:dyDescent="0.3">
      <c r="G1603" s="98"/>
    </row>
    <row r="1604" spans="7:7" x14ac:dyDescent="0.3">
      <c r="G1604" s="98"/>
    </row>
    <row r="1605" spans="7:7" x14ac:dyDescent="0.3">
      <c r="G1605" s="98"/>
    </row>
    <row r="1606" spans="7:7" x14ac:dyDescent="0.3">
      <c r="G1606" s="98"/>
    </row>
    <row r="1607" spans="7:7" x14ac:dyDescent="0.3">
      <c r="G1607" s="98"/>
    </row>
    <row r="1608" spans="7:7" x14ac:dyDescent="0.3">
      <c r="G1608" s="98"/>
    </row>
    <row r="1609" spans="7:7" x14ac:dyDescent="0.3">
      <c r="G1609" s="98"/>
    </row>
    <row r="1610" spans="7:7" x14ac:dyDescent="0.3">
      <c r="G1610" s="98"/>
    </row>
    <row r="1611" spans="7:7" x14ac:dyDescent="0.3">
      <c r="G1611" s="98"/>
    </row>
    <row r="1612" spans="7:7" x14ac:dyDescent="0.3">
      <c r="G1612" s="98"/>
    </row>
    <row r="1613" spans="7:7" x14ac:dyDescent="0.3">
      <c r="G1613" s="98"/>
    </row>
    <row r="1614" spans="7:7" x14ac:dyDescent="0.3">
      <c r="G1614" s="98"/>
    </row>
    <row r="1615" spans="7:7" x14ac:dyDescent="0.3">
      <c r="G1615" s="98"/>
    </row>
    <row r="1616" spans="7:7" x14ac:dyDescent="0.3">
      <c r="G1616" s="98"/>
    </row>
    <row r="1617" spans="7:7" x14ac:dyDescent="0.3">
      <c r="G1617" s="98"/>
    </row>
    <row r="1618" spans="7:7" x14ac:dyDescent="0.3">
      <c r="G1618" s="98"/>
    </row>
    <row r="1619" spans="7:7" x14ac:dyDescent="0.3">
      <c r="G1619" s="98"/>
    </row>
    <row r="1620" spans="7:7" x14ac:dyDescent="0.3">
      <c r="G1620" s="98"/>
    </row>
    <row r="1621" spans="7:7" x14ac:dyDescent="0.3">
      <c r="G1621" s="98"/>
    </row>
    <row r="1622" spans="7:7" x14ac:dyDescent="0.3">
      <c r="G1622" s="98"/>
    </row>
    <row r="1623" spans="7:7" x14ac:dyDescent="0.3">
      <c r="G1623" s="98"/>
    </row>
    <row r="1624" spans="7:7" x14ac:dyDescent="0.3">
      <c r="G1624" s="98"/>
    </row>
    <row r="1625" spans="7:7" x14ac:dyDescent="0.3">
      <c r="G1625" s="98"/>
    </row>
    <row r="1626" spans="7:7" x14ac:dyDescent="0.3">
      <c r="G1626" s="98"/>
    </row>
    <row r="1627" spans="7:7" x14ac:dyDescent="0.3">
      <c r="G1627" s="98"/>
    </row>
    <row r="1628" spans="7:7" x14ac:dyDescent="0.3">
      <c r="G1628" s="98"/>
    </row>
    <row r="1629" spans="7:7" x14ac:dyDescent="0.3">
      <c r="G1629" s="98"/>
    </row>
    <row r="1630" spans="7:7" x14ac:dyDescent="0.3">
      <c r="G1630" s="98"/>
    </row>
    <row r="1631" spans="7:7" x14ac:dyDescent="0.3">
      <c r="G1631" s="98"/>
    </row>
    <row r="1632" spans="7:7" x14ac:dyDescent="0.3">
      <c r="G1632" s="98"/>
    </row>
    <row r="1633" spans="7:7" x14ac:dyDescent="0.3">
      <c r="G1633" s="98"/>
    </row>
    <row r="1634" spans="7:7" x14ac:dyDescent="0.3">
      <c r="G1634" s="98"/>
    </row>
    <row r="1635" spans="7:7" x14ac:dyDescent="0.3">
      <c r="G1635" s="98"/>
    </row>
    <row r="1636" spans="7:7" x14ac:dyDescent="0.3">
      <c r="G1636" s="98"/>
    </row>
    <row r="1637" spans="7:7" x14ac:dyDescent="0.3">
      <c r="G1637" s="98"/>
    </row>
    <row r="1638" spans="7:7" x14ac:dyDescent="0.3">
      <c r="G1638" s="98"/>
    </row>
    <row r="1639" spans="7:7" x14ac:dyDescent="0.3">
      <c r="G1639" s="98"/>
    </row>
    <row r="1640" spans="7:7" x14ac:dyDescent="0.3">
      <c r="G1640" s="98"/>
    </row>
    <row r="1641" spans="7:7" x14ac:dyDescent="0.3">
      <c r="G1641" s="98"/>
    </row>
    <row r="1642" spans="7:7" x14ac:dyDescent="0.3">
      <c r="G1642" s="98"/>
    </row>
    <row r="1643" spans="7:7" x14ac:dyDescent="0.3">
      <c r="G1643" s="98"/>
    </row>
    <row r="1644" spans="7:7" x14ac:dyDescent="0.3">
      <c r="G1644" s="98"/>
    </row>
    <row r="1645" spans="7:7" x14ac:dyDescent="0.3">
      <c r="G1645" s="98"/>
    </row>
    <row r="1646" spans="7:7" x14ac:dyDescent="0.3">
      <c r="G1646" s="98"/>
    </row>
    <row r="1647" spans="7:7" x14ac:dyDescent="0.3">
      <c r="G1647" s="98"/>
    </row>
    <row r="1648" spans="7:7" x14ac:dyDescent="0.3">
      <c r="G1648" s="98"/>
    </row>
    <row r="1649" spans="7:7" x14ac:dyDescent="0.3">
      <c r="G1649" s="98"/>
    </row>
    <row r="1650" spans="7:7" x14ac:dyDescent="0.3">
      <c r="G1650" s="98"/>
    </row>
    <row r="1651" spans="7:7" x14ac:dyDescent="0.3">
      <c r="G1651" s="98"/>
    </row>
    <row r="1652" spans="7:7" x14ac:dyDescent="0.3">
      <c r="G1652" s="98"/>
    </row>
    <row r="1653" spans="7:7" x14ac:dyDescent="0.3">
      <c r="G1653" s="98"/>
    </row>
    <row r="1654" spans="7:7" x14ac:dyDescent="0.3">
      <c r="G1654" s="98"/>
    </row>
    <row r="1655" spans="7:7" x14ac:dyDescent="0.3">
      <c r="G1655" s="98"/>
    </row>
    <row r="1656" spans="7:7" x14ac:dyDescent="0.3">
      <c r="G1656" s="98"/>
    </row>
    <row r="1657" spans="7:7" x14ac:dyDescent="0.3">
      <c r="G1657" s="98"/>
    </row>
    <row r="1658" spans="7:7" x14ac:dyDescent="0.3">
      <c r="G1658" s="98"/>
    </row>
    <row r="1659" spans="7:7" x14ac:dyDescent="0.3">
      <c r="G1659" s="98"/>
    </row>
    <row r="1660" spans="7:7" x14ac:dyDescent="0.3">
      <c r="G1660" s="98"/>
    </row>
    <row r="1661" spans="7:7" x14ac:dyDescent="0.3">
      <c r="G1661" s="98"/>
    </row>
    <row r="1662" spans="7:7" x14ac:dyDescent="0.3">
      <c r="G1662" s="98"/>
    </row>
    <row r="1663" spans="7:7" x14ac:dyDescent="0.3">
      <c r="G1663" s="98"/>
    </row>
    <row r="1664" spans="7:7" x14ac:dyDescent="0.3">
      <c r="G1664" s="98"/>
    </row>
    <row r="1665" spans="7:7" x14ac:dyDescent="0.3">
      <c r="G1665" s="98"/>
    </row>
    <row r="1666" spans="7:7" x14ac:dyDescent="0.3">
      <c r="G1666" s="98"/>
    </row>
    <row r="1667" spans="7:7" x14ac:dyDescent="0.3">
      <c r="G1667" s="98"/>
    </row>
    <row r="1668" spans="7:7" x14ac:dyDescent="0.3">
      <c r="G1668" s="98"/>
    </row>
    <row r="1669" spans="7:7" x14ac:dyDescent="0.3">
      <c r="G1669" s="98"/>
    </row>
    <row r="1670" spans="7:7" x14ac:dyDescent="0.3">
      <c r="G1670" s="98"/>
    </row>
    <row r="1671" spans="7:7" x14ac:dyDescent="0.3">
      <c r="G1671" s="98"/>
    </row>
    <row r="1672" spans="7:7" x14ac:dyDescent="0.3">
      <c r="G1672" s="98"/>
    </row>
    <row r="1673" spans="7:7" x14ac:dyDescent="0.3">
      <c r="G1673" s="98"/>
    </row>
    <row r="1674" spans="7:7" x14ac:dyDescent="0.3">
      <c r="G1674" s="98"/>
    </row>
    <row r="1675" spans="7:7" x14ac:dyDescent="0.3">
      <c r="G1675" s="98"/>
    </row>
    <row r="1676" spans="7:7" x14ac:dyDescent="0.3">
      <c r="G1676" s="98"/>
    </row>
    <row r="1677" spans="7:7" x14ac:dyDescent="0.3">
      <c r="G1677" s="98"/>
    </row>
    <row r="1678" spans="7:7" x14ac:dyDescent="0.3">
      <c r="G1678" s="98"/>
    </row>
    <row r="1679" spans="7:7" x14ac:dyDescent="0.3">
      <c r="G1679" s="98"/>
    </row>
    <row r="1680" spans="7:7" x14ac:dyDescent="0.3">
      <c r="G1680" s="98"/>
    </row>
    <row r="1681" spans="7:7" x14ac:dyDescent="0.3">
      <c r="G1681" s="98"/>
    </row>
    <row r="1682" spans="7:7" x14ac:dyDescent="0.3">
      <c r="G1682" s="98"/>
    </row>
    <row r="1683" spans="7:7" x14ac:dyDescent="0.3">
      <c r="G1683" s="98"/>
    </row>
    <row r="1684" spans="7:7" x14ac:dyDescent="0.3">
      <c r="G1684" s="98"/>
    </row>
    <row r="1685" spans="7:7" x14ac:dyDescent="0.3">
      <c r="G1685" s="98"/>
    </row>
    <row r="1686" spans="7:7" x14ac:dyDescent="0.3">
      <c r="G1686" s="98"/>
    </row>
    <row r="1687" spans="7:7" x14ac:dyDescent="0.3">
      <c r="G1687" s="98"/>
    </row>
    <row r="1688" spans="7:7" x14ac:dyDescent="0.3">
      <c r="G1688" s="98"/>
    </row>
    <row r="1689" spans="7:7" x14ac:dyDescent="0.3">
      <c r="G1689" s="98"/>
    </row>
    <row r="1690" spans="7:7" x14ac:dyDescent="0.3">
      <c r="G1690" s="98"/>
    </row>
    <row r="1691" spans="7:7" x14ac:dyDescent="0.3">
      <c r="G1691" s="98"/>
    </row>
    <row r="1692" spans="7:7" x14ac:dyDescent="0.3">
      <c r="G1692" s="98"/>
    </row>
    <row r="1693" spans="7:7" x14ac:dyDescent="0.3">
      <c r="G1693" s="98"/>
    </row>
    <row r="1694" spans="7:7" x14ac:dyDescent="0.3">
      <c r="G1694" s="98"/>
    </row>
    <row r="1695" spans="7:7" x14ac:dyDescent="0.3">
      <c r="G1695" s="98"/>
    </row>
    <row r="1696" spans="7:7" x14ac:dyDescent="0.3">
      <c r="G1696" s="98"/>
    </row>
    <row r="1697" spans="7:7" x14ac:dyDescent="0.3">
      <c r="G1697" s="98"/>
    </row>
    <row r="1698" spans="7:7" x14ac:dyDescent="0.3">
      <c r="G1698" s="98"/>
    </row>
    <row r="1699" spans="7:7" x14ac:dyDescent="0.3">
      <c r="G1699" s="98"/>
    </row>
    <row r="1700" spans="7:7" x14ac:dyDescent="0.3">
      <c r="G1700" s="98"/>
    </row>
    <row r="1701" spans="7:7" x14ac:dyDescent="0.3">
      <c r="G1701" s="98"/>
    </row>
    <row r="1702" spans="7:7" x14ac:dyDescent="0.3">
      <c r="G1702" s="98"/>
    </row>
    <row r="1703" spans="7:7" x14ac:dyDescent="0.3">
      <c r="G1703" s="98"/>
    </row>
    <row r="1704" spans="7:7" x14ac:dyDescent="0.3">
      <c r="G1704" s="98"/>
    </row>
    <row r="1705" spans="7:7" x14ac:dyDescent="0.3">
      <c r="G1705" s="98"/>
    </row>
    <row r="1706" spans="7:7" x14ac:dyDescent="0.3">
      <c r="G1706" s="98"/>
    </row>
    <row r="1707" spans="7:7" x14ac:dyDescent="0.3">
      <c r="G1707" s="98"/>
    </row>
    <row r="1708" spans="7:7" x14ac:dyDescent="0.3">
      <c r="G1708" s="98"/>
    </row>
    <row r="1709" spans="7:7" x14ac:dyDescent="0.3">
      <c r="G1709" s="98"/>
    </row>
    <row r="1710" spans="7:7" x14ac:dyDescent="0.3">
      <c r="G1710" s="98"/>
    </row>
    <row r="1711" spans="7:7" x14ac:dyDescent="0.3">
      <c r="G1711" s="98"/>
    </row>
    <row r="1712" spans="7:7" x14ac:dyDescent="0.3">
      <c r="G1712" s="98"/>
    </row>
    <row r="1713" spans="7:7" x14ac:dyDescent="0.3">
      <c r="G1713" s="98"/>
    </row>
    <row r="1714" spans="7:7" x14ac:dyDescent="0.3">
      <c r="G1714" s="98"/>
    </row>
    <row r="1715" spans="7:7" x14ac:dyDescent="0.3">
      <c r="G1715" s="98"/>
    </row>
    <row r="1716" spans="7:7" x14ac:dyDescent="0.3">
      <c r="G1716" s="98"/>
    </row>
    <row r="1717" spans="7:7" x14ac:dyDescent="0.3">
      <c r="G1717" s="98"/>
    </row>
    <row r="1718" spans="7:7" x14ac:dyDescent="0.3">
      <c r="G1718" s="98"/>
    </row>
    <row r="1719" spans="7:7" x14ac:dyDescent="0.3">
      <c r="G1719" s="98"/>
    </row>
    <row r="1720" spans="7:7" x14ac:dyDescent="0.3">
      <c r="G1720" s="98"/>
    </row>
    <row r="1721" spans="7:7" x14ac:dyDescent="0.3">
      <c r="G1721" s="98"/>
    </row>
    <row r="1722" spans="7:7" x14ac:dyDescent="0.3">
      <c r="G1722" s="98"/>
    </row>
    <row r="1723" spans="7:7" x14ac:dyDescent="0.3">
      <c r="G1723" s="98"/>
    </row>
    <row r="1724" spans="7:7" x14ac:dyDescent="0.3">
      <c r="G1724" s="98"/>
    </row>
    <row r="1725" spans="7:7" x14ac:dyDescent="0.3">
      <c r="G1725" s="98"/>
    </row>
    <row r="1726" spans="7:7" x14ac:dyDescent="0.3">
      <c r="G1726" s="98"/>
    </row>
    <row r="1727" spans="7:7" x14ac:dyDescent="0.3">
      <c r="G1727" s="98"/>
    </row>
    <row r="1728" spans="7:7" x14ac:dyDescent="0.3">
      <c r="G1728" s="98"/>
    </row>
    <row r="1729" spans="7:7" x14ac:dyDescent="0.3">
      <c r="G1729" s="98"/>
    </row>
    <row r="1730" spans="7:7" x14ac:dyDescent="0.3">
      <c r="G1730" s="98"/>
    </row>
    <row r="1731" spans="7:7" x14ac:dyDescent="0.3">
      <c r="G1731" s="98"/>
    </row>
    <row r="1732" spans="7:7" x14ac:dyDescent="0.3">
      <c r="G1732" s="98"/>
    </row>
    <row r="1733" spans="7:7" x14ac:dyDescent="0.3">
      <c r="G1733" s="98"/>
    </row>
    <row r="1734" spans="7:7" x14ac:dyDescent="0.3">
      <c r="G1734" s="98"/>
    </row>
    <row r="1735" spans="7:7" x14ac:dyDescent="0.3">
      <c r="G1735" s="98"/>
    </row>
    <row r="1736" spans="7:7" x14ac:dyDescent="0.3">
      <c r="G1736" s="98"/>
    </row>
    <row r="1737" spans="7:7" x14ac:dyDescent="0.3">
      <c r="G1737" s="98"/>
    </row>
    <row r="1738" spans="7:7" x14ac:dyDescent="0.3">
      <c r="G1738" s="98"/>
    </row>
    <row r="1739" spans="7:7" x14ac:dyDescent="0.3">
      <c r="G1739" s="98"/>
    </row>
    <row r="1740" spans="7:7" x14ac:dyDescent="0.3">
      <c r="G1740" s="98"/>
    </row>
    <row r="1741" spans="7:7" x14ac:dyDescent="0.3">
      <c r="G1741" s="98"/>
    </row>
    <row r="1742" spans="7:7" x14ac:dyDescent="0.3">
      <c r="G1742" s="98"/>
    </row>
    <row r="1743" spans="7:7" x14ac:dyDescent="0.3">
      <c r="G1743" s="98"/>
    </row>
    <row r="1744" spans="7:7" x14ac:dyDescent="0.3">
      <c r="G1744" s="98"/>
    </row>
    <row r="1745" spans="7:7" x14ac:dyDescent="0.3">
      <c r="G1745" s="98"/>
    </row>
    <row r="1746" spans="7:7" x14ac:dyDescent="0.3">
      <c r="G1746" s="98"/>
    </row>
    <row r="1747" spans="7:7" x14ac:dyDescent="0.3">
      <c r="G1747" s="98"/>
    </row>
    <row r="1748" spans="7:7" x14ac:dyDescent="0.3">
      <c r="G1748" s="98"/>
    </row>
    <row r="1749" spans="7:7" x14ac:dyDescent="0.3">
      <c r="G1749" s="98"/>
    </row>
    <row r="1750" spans="7:7" x14ac:dyDescent="0.3">
      <c r="G1750" s="98"/>
    </row>
    <row r="1751" spans="7:7" x14ac:dyDescent="0.3">
      <c r="G1751" s="98"/>
    </row>
    <row r="1752" spans="7:7" x14ac:dyDescent="0.3">
      <c r="G1752" s="98"/>
    </row>
    <row r="1753" spans="7:7" x14ac:dyDescent="0.3">
      <c r="G1753" s="98"/>
    </row>
    <row r="1754" spans="7:7" x14ac:dyDescent="0.3">
      <c r="G1754" s="98"/>
    </row>
    <row r="1755" spans="7:7" x14ac:dyDescent="0.3">
      <c r="G1755" s="98"/>
    </row>
    <row r="1756" spans="7:7" x14ac:dyDescent="0.3">
      <c r="G1756" s="98"/>
    </row>
    <row r="1757" spans="7:7" x14ac:dyDescent="0.3">
      <c r="G1757" s="98"/>
    </row>
    <row r="1758" spans="7:7" x14ac:dyDescent="0.3">
      <c r="G1758" s="98"/>
    </row>
    <row r="1759" spans="7:7" x14ac:dyDescent="0.3">
      <c r="G1759" s="98"/>
    </row>
    <row r="1760" spans="7:7" x14ac:dyDescent="0.3">
      <c r="G1760" s="98"/>
    </row>
    <row r="1761" spans="7:7" x14ac:dyDescent="0.3">
      <c r="G1761" s="98"/>
    </row>
    <row r="1762" spans="7:7" x14ac:dyDescent="0.3">
      <c r="G1762" s="98"/>
    </row>
    <row r="1763" spans="7:7" x14ac:dyDescent="0.3">
      <c r="G1763" s="98"/>
    </row>
    <row r="1764" spans="7:7" x14ac:dyDescent="0.3">
      <c r="G1764" s="98"/>
    </row>
    <row r="1765" spans="7:7" x14ac:dyDescent="0.3">
      <c r="G1765" s="98"/>
    </row>
    <row r="1766" spans="7:7" x14ac:dyDescent="0.3">
      <c r="G1766" s="98"/>
    </row>
    <row r="1767" spans="7:7" x14ac:dyDescent="0.3">
      <c r="G1767" s="98"/>
    </row>
    <row r="1768" spans="7:7" x14ac:dyDescent="0.3">
      <c r="G1768" s="98"/>
    </row>
    <row r="1769" spans="7:7" x14ac:dyDescent="0.3">
      <c r="G1769" s="98"/>
    </row>
    <row r="1770" spans="7:7" x14ac:dyDescent="0.3">
      <c r="G1770" s="98"/>
    </row>
    <row r="1771" spans="7:7" x14ac:dyDescent="0.3">
      <c r="G1771" s="98"/>
    </row>
    <row r="1772" spans="7:7" x14ac:dyDescent="0.3">
      <c r="G1772" s="98"/>
    </row>
    <row r="1773" spans="7:7" x14ac:dyDescent="0.3">
      <c r="G1773" s="98"/>
    </row>
    <row r="1774" spans="7:7" x14ac:dyDescent="0.3">
      <c r="G1774" s="98"/>
    </row>
    <row r="1775" spans="7:7" x14ac:dyDescent="0.3">
      <c r="G1775" s="98"/>
    </row>
    <row r="1776" spans="7:7" x14ac:dyDescent="0.3">
      <c r="G1776" s="98"/>
    </row>
    <row r="1777" spans="7:7" x14ac:dyDescent="0.3">
      <c r="G1777" s="98"/>
    </row>
    <row r="1778" spans="7:7" x14ac:dyDescent="0.3">
      <c r="G1778" s="98"/>
    </row>
    <row r="1779" spans="7:7" x14ac:dyDescent="0.3">
      <c r="G1779" s="98"/>
    </row>
    <row r="1780" spans="7:7" x14ac:dyDescent="0.3">
      <c r="G1780" s="98"/>
    </row>
    <row r="1781" spans="7:7" x14ac:dyDescent="0.3">
      <c r="G1781" s="98"/>
    </row>
    <row r="1782" spans="7:7" x14ac:dyDescent="0.3">
      <c r="G1782" s="98"/>
    </row>
    <row r="1783" spans="7:7" x14ac:dyDescent="0.3">
      <c r="G1783" s="98"/>
    </row>
    <row r="1784" spans="7:7" x14ac:dyDescent="0.3">
      <c r="G1784" s="98"/>
    </row>
    <row r="1785" spans="7:7" x14ac:dyDescent="0.3">
      <c r="G1785" s="98"/>
    </row>
    <row r="1786" spans="7:7" x14ac:dyDescent="0.3">
      <c r="G1786" s="98"/>
    </row>
    <row r="1787" spans="7:7" x14ac:dyDescent="0.3">
      <c r="G1787" s="98"/>
    </row>
    <row r="1788" spans="7:7" x14ac:dyDescent="0.3">
      <c r="G1788" s="98"/>
    </row>
    <row r="1789" spans="7:7" x14ac:dyDescent="0.3">
      <c r="G1789" s="98"/>
    </row>
    <row r="1790" spans="7:7" x14ac:dyDescent="0.3">
      <c r="G1790" s="98"/>
    </row>
    <row r="1791" spans="7:7" x14ac:dyDescent="0.3">
      <c r="G1791" s="98"/>
    </row>
    <row r="1792" spans="7:7" x14ac:dyDescent="0.3">
      <c r="G1792" s="98"/>
    </row>
    <row r="1793" spans="7:7" x14ac:dyDescent="0.3">
      <c r="G1793" s="98"/>
    </row>
    <row r="1794" spans="7:7" x14ac:dyDescent="0.3">
      <c r="G1794" s="98"/>
    </row>
    <row r="1795" spans="7:7" x14ac:dyDescent="0.3">
      <c r="G1795" s="98"/>
    </row>
    <row r="1796" spans="7:7" x14ac:dyDescent="0.3">
      <c r="G1796" s="98"/>
    </row>
    <row r="1797" spans="7:7" x14ac:dyDescent="0.3">
      <c r="G1797" s="98"/>
    </row>
    <row r="1798" spans="7:7" x14ac:dyDescent="0.3">
      <c r="G1798" s="98"/>
    </row>
    <row r="1799" spans="7:7" x14ac:dyDescent="0.3">
      <c r="G1799" s="98"/>
    </row>
    <row r="1800" spans="7:7" x14ac:dyDescent="0.3">
      <c r="G1800" s="98"/>
    </row>
    <row r="1801" spans="7:7" x14ac:dyDescent="0.3">
      <c r="G1801" s="98"/>
    </row>
    <row r="1802" spans="7:7" x14ac:dyDescent="0.3">
      <c r="G1802" s="98"/>
    </row>
    <row r="1803" spans="7:7" x14ac:dyDescent="0.3">
      <c r="G1803" s="98"/>
    </row>
    <row r="1804" spans="7:7" x14ac:dyDescent="0.3">
      <c r="G1804" s="98"/>
    </row>
    <row r="1805" spans="7:7" x14ac:dyDescent="0.3">
      <c r="G1805" s="98"/>
    </row>
    <row r="1806" spans="7:7" x14ac:dyDescent="0.3">
      <c r="G1806" s="98"/>
    </row>
    <row r="1807" spans="7:7" x14ac:dyDescent="0.3">
      <c r="G1807" s="98"/>
    </row>
    <row r="1808" spans="7:7" x14ac:dyDescent="0.3">
      <c r="G1808" s="98"/>
    </row>
    <row r="1809" spans="7:7" x14ac:dyDescent="0.3">
      <c r="G1809" s="98"/>
    </row>
    <row r="1810" spans="7:7" x14ac:dyDescent="0.3">
      <c r="G1810" s="98"/>
    </row>
    <row r="1811" spans="7:7" x14ac:dyDescent="0.3">
      <c r="G1811" s="98"/>
    </row>
    <row r="1812" spans="7:7" x14ac:dyDescent="0.3">
      <c r="G1812" s="98"/>
    </row>
    <row r="1813" spans="7:7" x14ac:dyDescent="0.3">
      <c r="G1813" s="98"/>
    </row>
    <row r="1814" spans="7:7" x14ac:dyDescent="0.3">
      <c r="G1814" s="98"/>
    </row>
    <row r="1815" spans="7:7" x14ac:dyDescent="0.3">
      <c r="G1815" s="98"/>
    </row>
    <row r="1816" spans="7:7" x14ac:dyDescent="0.3">
      <c r="G1816" s="98"/>
    </row>
    <row r="1817" spans="7:7" x14ac:dyDescent="0.3">
      <c r="G1817" s="98"/>
    </row>
    <row r="1818" spans="7:7" x14ac:dyDescent="0.3">
      <c r="G1818" s="98"/>
    </row>
    <row r="1819" spans="7:7" x14ac:dyDescent="0.3">
      <c r="G1819" s="98"/>
    </row>
    <row r="1820" spans="7:7" x14ac:dyDescent="0.3">
      <c r="G1820" s="98"/>
    </row>
    <row r="1821" spans="7:7" x14ac:dyDescent="0.3">
      <c r="G1821" s="98"/>
    </row>
    <row r="1822" spans="7:7" x14ac:dyDescent="0.3">
      <c r="G1822" s="98"/>
    </row>
    <row r="1823" spans="7:7" x14ac:dyDescent="0.3">
      <c r="G1823" s="98"/>
    </row>
    <row r="1824" spans="7:7" x14ac:dyDescent="0.3">
      <c r="G1824" s="98"/>
    </row>
    <row r="1825" spans="7:7" x14ac:dyDescent="0.3">
      <c r="G1825" s="98"/>
    </row>
    <row r="1826" spans="7:7" x14ac:dyDescent="0.3">
      <c r="G1826" s="98"/>
    </row>
    <row r="1827" spans="7:7" x14ac:dyDescent="0.3">
      <c r="G1827" s="98"/>
    </row>
    <row r="1828" spans="7:7" x14ac:dyDescent="0.3">
      <c r="G1828" s="98"/>
    </row>
    <row r="1829" spans="7:7" x14ac:dyDescent="0.3">
      <c r="G1829" s="98"/>
    </row>
    <row r="1830" spans="7:7" x14ac:dyDescent="0.3">
      <c r="G1830" s="98"/>
    </row>
    <row r="1831" spans="7:7" x14ac:dyDescent="0.3">
      <c r="G1831" s="98"/>
    </row>
    <row r="1832" spans="7:7" x14ac:dyDescent="0.3">
      <c r="G1832" s="98"/>
    </row>
    <row r="1833" spans="7:7" x14ac:dyDescent="0.3">
      <c r="G1833" s="98"/>
    </row>
    <row r="1834" spans="7:7" x14ac:dyDescent="0.3">
      <c r="G1834" s="98"/>
    </row>
    <row r="1835" spans="7:7" x14ac:dyDescent="0.3">
      <c r="G1835" s="98"/>
    </row>
    <row r="1836" spans="7:7" x14ac:dyDescent="0.3">
      <c r="G1836" s="98"/>
    </row>
    <row r="1837" spans="7:7" x14ac:dyDescent="0.3">
      <c r="G1837" s="98"/>
    </row>
    <row r="1838" spans="7:7" x14ac:dyDescent="0.3">
      <c r="G1838" s="98"/>
    </row>
    <row r="1839" spans="7:7" x14ac:dyDescent="0.3">
      <c r="G1839" s="98"/>
    </row>
    <row r="1840" spans="7:7" x14ac:dyDescent="0.3">
      <c r="G1840" s="98"/>
    </row>
    <row r="1841" spans="7:7" x14ac:dyDescent="0.3">
      <c r="G1841" s="98"/>
    </row>
    <row r="1842" spans="7:7" x14ac:dyDescent="0.3">
      <c r="G1842" s="98"/>
    </row>
    <row r="1843" spans="7:7" x14ac:dyDescent="0.3">
      <c r="G1843" s="98"/>
    </row>
    <row r="1844" spans="7:7" x14ac:dyDescent="0.3">
      <c r="G1844" s="98"/>
    </row>
    <row r="1845" spans="7:7" x14ac:dyDescent="0.3">
      <c r="G1845" s="98"/>
    </row>
    <row r="1846" spans="7:7" x14ac:dyDescent="0.3">
      <c r="G1846" s="98"/>
    </row>
    <row r="1847" spans="7:7" x14ac:dyDescent="0.3">
      <c r="G1847" s="98"/>
    </row>
    <row r="1848" spans="7:7" x14ac:dyDescent="0.3">
      <c r="G1848" s="98"/>
    </row>
    <row r="1849" spans="7:7" x14ac:dyDescent="0.3">
      <c r="G1849" s="98"/>
    </row>
    <row r="1850" spans="7:7" x14ac:dyDescent="0.3">
      <c r="G1850" s="98"/>
    </row>
    <row r="1851" spans="7:7" x14ac:dyDescent="0.3">
      <c r="G1851" s="98"/>
    </row>
    <row r="1852" spans="7:7" x14ac:dyDescent="0.3">
      <c r="G1852" s="98"/>
    </row>
    <row r="1853" spans="7:7" x14ac:dyDescent="0.3">
      <c r="G1853" s="98"/>
    </row>
    <row r="1854" spans="7:7" x14ac:dyDescent="0.3">
      <c r="G1854" s="98"/>
    </row>
    <row r="1855" spans="7:7" x14ac:dyDescent="0.3">
      <c r="G1855" s="98"/>
    </row>
    <row r="1856" spans="7:7" x14ac:dyDescent="0.3">
      <c r="G1856" s="98"/>
    </row>
    <row r="1857" spans="7:7" x14ac:dyDescent="0.3">
      <c r="G1857" s="98"/>
    </row>
    <row r="1858" spans="7:7" x14ac:dyDescent="0.3">
      <c r="G1858" s="98"/>
    </row>
    <row r="1859" spans="7:7" x14ac:dyDescent="0.3">
      <c r="G1859" s="98"/>
    </row>
    <row r="1860" spans="7:7" x14ac:dyDescent="0.3">
      <c r="G1860" s="98"/>
    </row>
    <row r="1861" spans="7:7" x14ac:dyDescent="0.3">
      <c r="G1861" s="98"/>
    </row>
    <row r="1862" spans="7:7" x14ac:dyDescent="0.3">
      <c r="G1862" s="98"/>
    </row>
    <row r="1863" spans="7:7" x14ac:dyDescent="0.3">
      <c r="G1863" s="98"/>
    </row>
    <row r="1864" spans="7:7" x14ac:dyDescent="0.3">
      <c r="G1864" s="98"/>
    </row>
    <row r="1865" spans="7:7" x14ac:dyDescent="0.3">
      <c r="G1865" s="98"/>
    </row>
    <row r="1866" spans="7:7" x14ac:dyDescent="0.3">
      <c r="G1866" s="98"/>
    </row>
    <row r="1867" spans="7:7" x14ac:dyDescent="0.3">
      <c r="G1867" s="98"/>
    </row>
    <row r="1868" spans="7:7" x14ac:dyDescent="0.3">
      <c r="G1868" s="98"/>
    </row>
    <row r="1869" spans="7:7" x14ac:dyDescent="0.3">
      <c r="G1869" s="98"/>
    </row>
    <row r="1870" spans="7:7" x14ac:dyDescent="0.3">
      <c r="G1870" s="98"/>
    </row>
    <row r="1871" spans="7:7" x14ac:dyDescent="0.3">
      <c r="G1871" s="98"/>
    </row>
    <row r="1872" spans="7:7" x14ac:dyDescent="0.3">
      <c r="G1872" s="98"/>
    </row>
    <row r="1873" spans="7:7" x14ac:dyDescent="0.3">
      <c r="G1873" s="98"/>
    </row>
    <row r="1874" spans="7:7" x14ac:dyDescent="0.3">
      <c r="G1874" s="98"/>
    </row>
    <row r="1875" spans="7:7" x14ac:dyDescent="0.3">
      <c r="G1875" s="98"/>
    </row>
    <row r="1876" spans="7:7" x14ac:dyDescent="0.3">
      <c r="G1876" s="98"/>
    </row>
    <row r="1877" spans="7:7" x14ac:dyDescent="0.3">
      <c r="G1877" s="98"/>
    </row>
    <row r="1878" spans="7:7" x14ac:dyDescent="0.3">
      <c r="G1878" s="98"/>
    </row>
    <row r="1879" spans="7:7" x14ac:dyDescent="0.3">
      <c r="G1879" s="98"/>
    </row>
    <row r="1880" spans="7:7" x14ac:dyDescent="0.3">
      <c r="G1880" s="98"/>
    </row>
    <row r="1881" spans="7:7" x14ac:dyDescent="0.3">
      <c r="G1881" s="98"/>
    </row>
    <row r="1882" spans="7:7" x14ac:dyDescent="0.3">
      <c r="G1882" s="98"/>
    </row>
    <row r="1883" spans="7:7" x14ac:dyDescent="0.3">
      <c r="G1883" s="98"/>
    </row>
    <row r="1884" spans="7:7" x14ac:dyDescent="0.3">
      <c r="G1884" s="98"/>
    </row>
    <row r="1885" spans="7:7" x14ac:dyDescent="0.3">
      <c r="G1885" s="98"/>
    </row>
    <row r="1886" spans="7:7" x14ac:dyDescent="0.3">
      <c r="G1886" s="98"/>
    </row>
    <row r="1887" spans="7:7" x14ac:dyDescent="0.3">
      <c r="G1887" s="98"/>
    </row>
    <row r="1888" spans="7:7" x14ac:dyDescent="0.3">
      <c r="G1888" s="98"/>
    </row>
    <row r="1889" spans="7:7" x14ac:dyDescent="0.3">
      <c r="G1889" s="98"/>
    </row>
    <row r="1890" spans="7:7" x14ac:dyDescent="0.3">
      <c r="G1890" s="98"/>
    </row>
    <row r="1891" spans="7:7" x14ac:dyDescent="0.3">
      <c r="G1891" s="98"/>
    </row>
    <row r="1892" spans="7:7" x14ac:dyDescent="0.3">
      <c r="G1892" s="98"/>
    </row>
    <row r="1893" spans="7:7" x14ac:dyDescent="0.3">
      <c r="G1893" s="98"/>
    </row>
    <row r="1894" spans="7:7" x14ac:dyDescent="0.3">
      <c r="G1894" s="98"/>
    </row>
    <row r="1895" spans="7:7" x14ac:dyDescent="0.3">
      <c r="G1895" s="98"/>
    </row>
    <row r="1896" spans="7:7" x14ac:dyDescent="0.3">
      <c r="G1896" s="98"/>
    </row>
    <row r="1897" spans="7:7" x14ac:dyDescent="0.3">
      <c r="G1897" s="98"/>
    </row>
    <row r="1898" spans="7:7" x14ac:dyDescent="0.3">
      <c r="G1898" s="98"/>
    </row>
    <row r="1899" spans="7:7" x14ac:dyDescent="0.3">
      <c r="G1899" s="98"/>
    </row>
    <row r="1900" spans="7:7" x14ac:dyDescent="0.3">
      <c r="G1900" s="98"/>
    </row>
    <row r="1901" spans="7:7" x14ac:dyDescent="0.3">
      <c r="G1901" s="98"/>
    </row>
    <row r="1902" spans="7:7" x14ac:dyDescent="0.3">
      <c r="G1902" s="98"/>
    </row>
    <row r="1903" spans="7:7" x14ac:dyDescent="0.3">
      <c r="G1903" s="98"/>
    </row>
    <row r="1904" spans="7:7" x14ac:dyDescent="0.3">
      <c r="G1904" s="98"/>
    </row>
    <row r="1905" spans="7:7" x14ac:dyDescent="0.3">
      <c r="G1905" s="98"/>
    </row>
    <row r="1906" spans="7:7" x14ac:dyDescent="0.3">
      <c r="G1906" s="98"/>
    </row>
    <row r="1907" spans="7:7" x14ac:dyDescent="0.3">
      <c r="G1907" s="98"/>
    </row>
    <row r="1908" spans="7:7" x14ac:dyDescent="0.3">
      <c r="G1908" s="98"/>
    </row>
    <row r="1909" spans="7:7" x14ac:dyDescent="0.3">
      <c r="G1909" s="98"/>
    </row>
    <row r="1910" spans="7:7" x14ac:dyDescent="0.3">
      <c r="G1910" s="98"/>
    </row>
    <row r="1911" spans="7:7" x14ac:dyDescent="0.3">
      <c r="G1911" s="98"/>
    </row>
    <row r="1912" spans="7:7" x14ac:dyDescent="0.3">
      <c r="G1912" s="98"/>
    </row>
    <row r="1913" spans="7:7" x14ac:dyDescent="0.3">
      <c r="G1913" s="98"/>
    </row>
    <row r="1914" spans="7:7" x14ac:dyDescent="0.3">
      <c r="G1914" s="98"/>
    </row>
    <row r="1915" spans="7:7" x14ac:dyDescent="0.3">
      <c r="G1915" s="98"/>
    </row>
    <row r="1916" spans="7:7" x14ac:dyDescent="0.3">
      <c r="G1916" s="98"/>
    </row>
    <row r="1917" spans="7:7" x14ac:dyDescent="0.3">
      <c r="G1917" s="98"/>
    </row>
    <row r="1918" spans="7:7" x14ac:dyDescent="0.3">
      <c r="G1918" s="98"/>
    </row>
    <row r="1919" spans="7:7" x14ac:dyDescent="0.3">
      <c r="G1919" s="98"/>
    </row>
    <row r="1920" spans="7:7" x14ac:dyDescent="0.3">
      <c r="G1920" s="98"/>
    </row>
    <row r="1921" spans="7:7" x14ac:dyDescent="0.3">
      <c r="G1921" s="98"/>
    </row>
    <row r="1922" spans="7:7" x14ac:dyDescent="0.3">
      <c r="G1922" s="98"/>
    </row>
    <row r="1923" spans="7:7" x14ac:dyDescent="0.3">
      <c r="G1923" s="98"/>
    </row>
    <row r="1924" spans="7:7" x14ac:dyDescent="0.3">
      <c r="G1924" s="98"/>
    </row>
    <row r="1925" spans="7:7" x14ac:dyDescent="0.3">
      <c r="G1925" s="98"/>
    </row>
    <row r="1926" spans="7:7" x14ac:dyDescent="0.3">
      <c r="G1926" s="98"/>
    </row>
    <row r="1927" spans="7:7" x14ac:dyDescent="0.3">
      <c r="G1927" s="98"/>
    </row>
    <row r="1928" spans="7:7" x14ac:dyDescent="0.3">
      <c r="G1928" s="98"/>
    </row>
    <row r="1929" spans="7:7" x14ac:dyDescent="0.3">
      <c r="G1929" s="98"/>
    </row>
    <row r="1930" spans="7:7" x14ac:dyDescent="0.3">
      <c r="G1930" s="98"/>
    </row>
    <row r="1931" spans="7:7" x14ac:dyDescent="0.3">
      <c r="G1931" s="98"/>
    </row>
    <row r="1932" spans="7:7" x14ac:dyDescent="0.3">
      <c r="G1932" s="98"/>
    </row>
    <row r="1933" spans="7:7" x14ac:dyDescent="0.3">
      <c r="G1933" s="98"/>
    </row>
    <row r="1934" spans="7:7" x14ac:dyDescent="0.3">
      <c r="G1934" s="98"/>
    </row>
    <row r="1935" spans="7:7" x14ac:dyDescent="0.3">
      <c r="G1935" s="98"/>
    </row>
    <row r="1936" spans="7:7" x14ac:dyDescent="0.3">
      <c r="G1936" s="98"/>
    </row>
    <row r="1937" spans="7:7" x14ac:dyDescent="0.3">
      <c r="G1937" s="98"/>
    </row>
    <row r="1938" spans="7:7" x14ac:dyDescent="0.3">
      <c r="G1938" s="98"/>
    </row>
    <row r="1939" spans="7:7" x14ac:dyDescent="0.3">
      <c r="G1939" s="98"/>
    </row>
    <row r="1940" spans="7:7" x14ac:dyDescent="0.3">
      <c r="G1940" s="98"/>
    </row>
    <row r="1941" spans="7:7" x14ac:dyDescent="0.3">
      <c r="G1941" s="98"/>
    </row>
    <row r="1942" spans="7:7" x14ac:dyDescent="0.3">
      <c r="G1942" s="98"/>
    </row>
    <row r="1943" spans="7:7" x14ac:dyDescent="0.3">
      <c r="G1943" s="98"/>
    </row>
    <row r="1944" spans="7:7" x14ac:dyDescent="0.3">
      <c r="G1944" s="98"/>
    </row>
    <row r="1945" spans="7:7" x14ac:dyDescent="0.3">
      <c r="G1945" s="98"/>
    </row>
    <row r="1946" spans="7:7" x14ac:dyDescent="0.3">
      <c r="G1946" s="98"/>
    </row>
    <row r="1947" spans="7:7" x14ac:dyDescent="0.3">
      <c r="G1947" s="98"/>
    </row>
    <row r="1948" spans="7:7" x14ac:dyDescent="0.3">
      <c r="G1948" s="98"/>
    </row>
    <row r="1949" spans="7:7" x14ac:dyDescent="0.3">
      <c r="G1949" s="98"/>
    </row>
    <row r="1950" spans="7:7" x14ac:dyDescent="0.3">
      <c r="G1950" s="98"/>
    </row>
    <row r="1951" spans="7:7" x14ac:dyDescent="0.3">
      <c r="G1951" s="98"/>
    </row>
    <row r="1952" spans="7:7" x14ac:dyDescent="0.3">
      <c r="G1952" s="98"/>
    </row>
    <row r="1953" spans="7:7" x14ac:dyDescent="0.3">
      <c r="G1953" s="98"/>
    </row>
    <row r="1954" spans="7:7" x14ac:dyDescent="0.3">
      <c r="G1954" s="98"/>
    </row>
    <row r="1955" spans="7:7" x14ac:dyDescent="0.3">
      <c r="G1955" s="98"/>
    </row>
    <row r="1956" spans="7:7" x14ac:dyDescent="0.3">
      <c r="G1956" s="98"/>
    </row>
    <row r="1957" spans="7:7" x14ac:dyDescent="0.3">
      <c r="G1957" s="98"/>
    </row>
    <row r="1958" spans="7:7" x14ac:dyDescent="0.3">
      <c r="G1958" s="98"/>
    </row>
    <row r="1959" spans="7:7" x14ac:dyDescent="0.3">
      <c r="G1959" s="98"/>
    </row>
    <row r="1960" spans="7:7" x14ac:dyDescent="0.3">
      <c r="G1960" s="98"/>
    </row>
    <row r="1961" spans="7:7" x14ac:dyDescent="0.3">
      <c r="G1961" s="98"/>
    </row>
    <row r="1962" spans="7:7" x14ac:dyDescent="0.3">
      <c r="G1962" s="98"/>
    </row>
    <row r="1963" spans="7:7" x14ac:dyDescent="0.3">
      <c r="G1963" s="98"/>
    </row>
    <row r="1964" spans="7:7" x14ac:dyDescent="0.3">
      <c r="G1964" s="98"/>
    </row>
    <row r="1965" spans="7:7" x14ac:dyDescent="0.3">
      <c r="G1965" s="98"/>
    </row>
    <row r="1966" spans="7:7" x14ac:dyDescent="0.3">
      <c r="G1966" s="98"/>
    </row>
    <row r="1967" spans="7:7" x14ac:dyDescent="0.3">
      <c r="G1967" s="98"/>
    </row>
    <row r="1968" spans="7:7" x14ac:dyDescent="0.3">
      <c r="G1968" s="98"/>
    </row>
    <row r="1969" spans="7:7" x14ac:dyDescent="0.3">
      <c r="G1969" s="98"/>
    </row>
    <row r="1970" spans="7:7" x14ac:dyDescent="0.3">
      <c r="G1970" s="98"/>
    </row>
    <row r="1971" spans="7:7" x14ac:dyDescent="0.3">
      <c r="G1971" s="98"/>
    </row>
    <row r="1972" spans="7:7" x14ac:dyDescent="0.3">
      <c r="G1972" s="98"/>
    </row>
    <row r="1973" spans="7:7" x14ac:dyDescent="0.3">
      <c r="G1973" s="98"/>
    </row>
    <row r="1974" spans="7:7" x14ac:dyDescent="0.3">
      <c r="G1974" s="98"/>
    </row>
    <row r="1975" spans="7:7" x14ac:dyDescent="0.3">
      <c r="G1975" s="98"/>
    </row>
    <row r="1976" spans="7:7" x14ac:dyDescent="0.3">
      <c r="G1976" s="98"/>
    </row>
    <row r="1977" spans="7:7" x14ac:dyDescent="0.3">
      <c r="G1977" s="98"/>
    </row>
    <row r="1978" spans="7:7" x14ac:dyDescent="0.3">
      <c r="G1978" s="98"/>
    </row>
    <row r="1979" spans="7:7" x14ac:dyDescent="0.3">
      <c r="G1979" s="98"/>
    </row>
    <row r="1980" spans="7:7" x14ac:dyDescent="0.3">
      <c r="G1980" s="98"/>
    </row>
    <row r="1981" spans="7:7" x14ac:dyDescent="0.3">
      <c r="G1981" s="98"/>
    </row>
  </sheetData>
  <mergeCells count="3">
    <mergeCell ref="B2:E2"/>
    <mergeCell ref="B36:F36"/>
    <mergeCell ref="B49:F49"/>
  </mergeCells>
  <phoneticPr fontId="35" type="noConversion"/>
  <conditionalFormatting sqref="F29:F31">
    <cfRule type="expression" dxfId="15" priority="3">
      <formula>IF(AND(LEN(#REF!)=0,LEN(#REF!)=0,LEN(#REF!)=0,#REF!="X"),1,0)=1</formula>
    </cfRule>
  </conditionalFormatting>
  <hyperlinks>
    <hyperlink ref="G2" location="'Excel Output'!C46" display="Return button" xr:uid="{1FEFC058-5092-4305-BD33-C4373694FD7C}"/>
    <hyperlink ref="G24" location="Storage!B36:H45" display="Worksheet" xr:uid="{1B769492-15F6-4284-81E6-1A277558BB6C}"/>
    <hyperlink ref="G26" location="Storage!B47:H63" display="Worksheet" xr:uid="{7DBAD90F-7714-46D7-AA31-02408DE78A5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BBF346D-5992-4342-96BF-70B1841FB23A}">
          <x14:formula1>
            <xm:f>Misc!$B$101:$B$108</xm:f>
          </x14:formula1>
          <xm:sqref>C39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22B3-1783-40A1-9B63-9912535DAC92}">
  <sheetPr codeName="Sheet6">
    <tabColor theme="9" tint="0.59999389629810485"/>
  </sheetPr>
  <dimension ref="A1:T1904"/>
  <sheetViews>
    <sheetView showGridLines="0" topLeftCell="A38" zoomScale="60" zoomScaleNormal="60" workbookViewId="0">
      <selection activeCell="B21" sqref="B21:F21"/>
    </sheetView>
  </sheetViews>
  <sheetFormatPr defaultColWidth="16.44140625" defaultRowHeight="15.6" x14ac:dyDescent="0.3"/>
  <cols>
    <col min="1" max="1" width="8.44140625" style="302" customWidth="1"/>
    <col min="2" max="2" width="57.21875" style="95" customWidth="1"/>
    <col min="3" max="4" width="18.77734375" style="95" customWidth="1"/>
    <col min="5" max="5" width="23.77734375" style="95" customWidth="1"/>
    <col min="6" max="6" width="25.21875" style="99" customWidth="1"/>
    <col min="7" max="7" width="18.44140625" style="210" customWidth="1"/>
    <col min="8" max="8" width="128.21875" style="100" customWidth="1"/>
    <col min="9" max="9" width="15.44140625" style="95" customWidth="1"/>
    <col min="10" max="10" width="13.44140625" style="95" customWidth="1"/>
    <col min="11" max="11" width="42.21875" style="95" customWidth="1"/>
    <col min="12" max="14" width="18.77734375" style="95" customWidth="1"/>
    <col min="15" max="17" width="18.77734375" style="99" customWidth="1"/>
    <col min="18" max="18" width="22.21875" style="96" customWidth="1"/>
    <col min="19" max="19" width="20.77734375" style="100" customWidth="1"/>
    <col min="20" max="20" width="43" style="195" customWidth="1"/>
    <col min="21" max="21" width="70.44140625" style="95" customWidth="1"/>
    <col min="22" max="22" width="6.77734375" style="95" customWidth="1"/>
    <col min="23" max="23" width="70.44140625" style="95" customWidth="1"/>
    <col min="24" max="16384" width="16.44140625" style="95"/>
  </cols>
  <sheetData>
    <row r="1" spans="1:20" ht="20.25" customHeight="1" thickBot="1" x14ac:dyDescent="0.35">
      <c r="F1" s="95"/>
      <c r="G1" s="98"/>
      <c r="H1" s="98"/>
      <c r="N1" s="94"/>
      <c r="O1" s="95"/>
      <c r="P1" s="95"/>
      <c r="Q1" s="95"/>
      <c r="R1" s="95"/>
      <c r="S1" s="95"/>
      <c r="T1" s="95"/>
    </row>
    <row r="2" spans="1:20" ht="16.2" thickBot="1" x14ac:dyDescent="0.35">
      <c r="B2" s="886" t="s">
        <v>223</v>
      </c>
      <c r="C2" s="887"/>
      <c r="D2" s="887"/>
      <c r="E2" s="887"/>
      <c r="F2" s="293"/>
      <c r="G2" s="466" t="s">
        <v>473</v>
      </c>
      <c r="H2" s="208"/>
      <c r="I2" s="96"/>
      <c r="J2" s="96"/>
      <c r="K2" s="96"/>
      <c r="L2" s="96"/>
      <c r="M2" s="96"/>
      <c r="N2" s="96"/>
      <c r="O2" s="96"/>
      <c r="P2" s="96"/>
      <c r="Q2" s="96"/>
      <c r="S2" s="97"/>
    </row>
    <row r="3" spans="1:20" ht="16.2" thickBot="1" x14ac:dyDescent="0.35">
      <c r="F3" s="212"/>
      <c r="G3" s="98"/>
      <c r="H3" s="213"/>
      <c r="I3" s="96"/>
      <c r="J3" s="96"/>
      <c r="K3" s="96"/>
      <c r="L3" s="96"/>
      <c r="M3" s="96"/>
      <c r="N3" s="96"/>
      <c r="O3" s="96"/>
      <c r="P3" s="96"/>
      <c r="Q3" s="96"/>
    </row>
    <row r="4" spans="1:20" ht="20.25" customHeight="1" thickBot="1" x14ac:dyDescent="0.35">
      <c r="B4" s="5" t="s">
        <v>12</v>
      </c>
      <c r="C4" s="6"/>
      <c r="D4" s="6"/>
      <c r="E4" s="6"/>
      <c r="F4" s="72"/>
      <c r="G4" s="98"/>
      <c r="H4" s="11" t="s">
        <v>2</v>
      </c>
      <c r="I4" s="195"/>
      <c r="J4" s="96"/>
      <c r="K4" s="96"/>
      <c r="L4" s="96"/>
      <c r="M4" s="96"/>
    </row>
    <row r="5" spans="1:20" ht="20.25" customHeight="1" thickBot="1" x14ac:dyDescent="0.35">
      <c r="B5" s="155" t="s">
        <v>43</v>
      </c>
      <c r="C5" s="172"/>
      <c r="D5" s="50"/>
      <c r="E5" s="67"/>
      <c r="F5" s="107">
        <v>0.1</v>
      </c>
      <c r="G5" s="98"/>
      <c r="H5" s="379" t="s">
        <v>255</v>
      </c>
      <c r="I5" s="195"/>
      <c r="J5" s="96"/>
      <c r="K5" s="96"/>
      <c r="L5" s="96"/>
      <c r="M5" s="96"/>
    </row>
    <row r="6" spans="1:20" ht="20.25" customHeight="1" thickBot="1" x14ac:dyDescent="0.35">
      <c r="B6" s="155" t="s">
        <v>42</v>
      </c>
      <c r="C6" s="172"/>
      <c r="D6" s="50"/>
      <c r="E6" s="8"/>
      <c r="F6" s="135">
        <f>Compute!F6</f>
        <v>400</v>
      </c>
      <c r="G6" s="98"/>
      <c r="H6" s="501">
        <f>'Initial Screens'!$E$17</f>
        <v>0</v>
      </c>
      <c r="I6" s="195"/>
      <c r="J6" s="96"/>
      <c r="K6" s="96"/>
      <c r="L6" s="96"/>
      <c r="M6" s="96"/>
    </row>
    <row r="7" spans="1:20" ht="20.25" customHeight="1" thickBot="1" x14ac:dyDescent="0.35">
      <c r="A7" s="714" t="str">
        <f>IF(Compute!$D$68="No","Hide","Show")</f>
        <v>Show</v>
      </c>
      <c r="B7" s="7" t="s">
        <v>640</v>
      </c>
      <c r="C7" s="714"/>
      <c r="D7" s="50"/>
      <c r="E7" s="8"/>
      <c r="F7" s="135">
        <f>Compute!F73</f>
        <v>0</v>
      </c>
      <c r="G7" s="98"/>
      <c r="H7" s="610" t="s">
        <v>227</v>
      </c>
      <c r="I7" s="195"/>
      <c r="J7" s="96"/>
      <c r="K7" s="96"/>
      <c r="L7" s="96"/>
      <c r="M7" s="96"/>
    </row>
    <row r="8" spans="1:20" ht="20.25" customHeight="1" thickBot="1" x14ac:dyDescent="0.35">
      <c r="B8" s="7" t="s">
        <v>45</v>
      </c>
      <c r="C8" s="172"/>
      <c r="D8" s="50"/>
      <c r="E8" s="8"/>
      <c r="F8" s="609">
        <f>Compute!F8*Compute!F10+(1-Compute!F8)*Compute!F9</f>
        <v>25000</v>
      </c>
      <c r="G8" s="98"/>
      <c r="H8" s="498" t="s">
        <v>217</v>
      </c>
      <c r="I8" s="195"/>
      <c r="J8" s="96"/>
      <c r="K8" s="96"/>
      <c r="L8" s="96"/>
      <c r="M8" s="96"/>
    </row>
    <row r="9" spans="1:20" ht="20.25" customHeight="1" thickBot="1" x14ac:dyDescent="0.35">
      <c r="A9" s="714" t="str">
        <f>IF(Compute!$D$68="No","Hide","Show")</f>
        <v>Show</v>
      </c>
      <c r="B9" s="7" t="s">
        <v>642</v>
      </c>
      <c r="C9" s="714"/>
      <c r="D9" s="50"/>
      <c r="E9" s="67"/>
      <c r="F9" s="609">
        <f>Compute!F74</f>
        <v>5000</v>
      </c>
      <c r="G9" s="98"/>
      <c r="H9" s="611" t="s">
        <v>217</v>
      </c>
      <c r="I9" s="195"/>
      <c r="J9" s="96"/>
      <c r="K9" s="96"/>
      <c r="L9" s="96"/>
      <c r="M9" s="96"/>
    </row>
    <row r="10" spans="1:20" ht="20.25" customHeight="1" thickBot="1" x14ac:dyDescent="0.35">
      <c r="B10" s="7" t="s">
        <v>216</v>
      </c>
      <c r="C10" s="50"/>
      <c r="D10" s="50"/>
      <c r="E10" s="67"/>
      <c r="F10" s="183">
        <v>0.15</v>
      </c>
      <c r="G10" s="98"/>
      <c r="H10" s="379" t="s">
        <v>255</v>
      </c>
      <c r="I10" s="195"/>
    </row>
    <row r="11" spans="1:20" ht="20.25" customHeight="1" thickBot="1" x14ac:dyDescent="0.35">
      <c r="B11" s="169" t="str">
        <f>FIXED(AnalysisTerm,0)&amp;"-Year Current State Cost"</f>
        <v>10-Year Current State Cost</v>
      </c>
      <c r="C11" s="258"/>
      <c r="D11" s="92"/>
      <c r="E11" s="93"/>
      <c r="F11" s="147">
        <f>ROUND(Network!F5*Network!F6*Network!F8,0)*(1+AnalysisTerm*Network!F10)</f>
        <v>2500000</v>
      </c>
      <c r="G11" s="98"/>
      <c r="H11" s="500" t="s">
        <v>8</v>
      </c>
      <c r="I11" s="195"/>
      <c r="J11" s="96"/>
      <c r="K11" s="96"/>
      <c r="L11" s="96"/>
      <c r="M11" s="96"/>
    </row>
    <row r="12" spans="1:20" ht="20.25" customHeight="1" thickBot="1" x14ac:dyDescent="0.35">
      <c r="B12" s="171" t="s">
        <v>13</v>
      </c>
      <c r="C12" s="177"/>
      <c r="D12" s="75"/>
      <c r="E12" s="67"/>
      <c r="F12" s="8"/>
      <c r="G12" s="98"/>
      <c r="H12" s="73"/>
      <c r="I12" s="195"/>
      <c r="J12" s="96"/>
      <c r="K12" s="96"/>
      <c r="L12" s="96"/>
      <c r="M12" s="96"/>
    </row>
    <row r="13" spans="1:20" ht="20.25" customHeight="1" thickBot="1" x14ac:dyDescent="0.35">
      <c r="B13" s="155" t="s">
        <v>43</v>
      </c>
      <c r="C13" s="172"/>
      <c r="D13" s="50"/>
      <c r="E13" s="67"/>
      <c r="F13" s="107">
        <f>ROUND(F5,3)</f>
        <v>0.1</v>
      </c>
      <c r="G13" s="98"/>
      <c r="H13" s="379" t="s">
        <v>52</v>
      </c>
      <c r="I13" s="195"/>
      <c r="J13" s="96"/>
      <c r="K13" s="96"/>
      <c r="L13" s="96"/>
      <c r="M13" s="96"/>
    </row>
    <row r="14" spans="1:20" ht="20.25" customHeight="1" thickBot="1" x14ac:dyDescent="0.35">
      <c r="A14" s="302" t="str">
        <f>IF('Initial Screens'!$C$13="VVF","Hide","Show")</f>
        <v>Show</v>
      </c>
      <c r="B14" s="155" t="s">
        <v>48</v>
      </c>
      <c r="C14" s="172"/>
      <c r="D14" s="50"/>
      <c r="E14" s="115"/>
      <c r="F14" s="135">
        <f>Compute!F19+Compute!F81</f>
        <v>143</v>
      </c>
      <c r="G14" s="98"/>
      <c r="H14" s="498" t="s">
        <v>217</v>
      </c>
      <c r="I14" s="195"/>
      <c r="J14" s="96"/>
      <c r="K14" s="96"/>
      <c r="L14" s="96"/>
      <c r="M14" s="96"/>
    </row>
    <row r="15" spans="1:20" ht="20.25" customHeight="1" thickBot="1" x14ac:dyDescent="0.35">
      <c r="B15" s="155" t="s">
        <v>49</v>
      </c>
      <c r="C15" s="172"/>
      <c r="D15" s="50"/>
      <c r="E15" s="115"/>
      <c r="F15" s="135">
        <f>Compute!F20+Compute!F82</f>
        <v>0</v>
      </c>
      <c r="G15" s="98"/>
      <c r="H15" s="498" t="s">
        <v>217</v>
      </c>
      <c r="I15" s="195"/>
      <c r="J15" s="96"/>
      <c r="K15" s="96"/>
      <c r="L15" s="96"/>
      <c r="M15" s="96"/>
    </row>
    <row r="16" spans="1:20" ht="20.25" customHeight="1" thickBot="1" x14ac:dyDescent="0.35">
      <c r="A16" s="302" t="str">
        <f>IF('Initial Screens'!$C$13="VVF","Hide","Show")</f>
        <v>Show</v>
      </c>
      <c r="B16" s="155" t="s">
        <v>50</v>
      </c>
      <c r="C16" s="172"/>
      <c r="D16" s="172"/>
      <c r="E16" s="115"/>
      <c r="F16" s="259">
        <f>Compute!F21</f>
        <v>25000</v>
      </c>
      <c r="G16" s="98"/>
      <c r="H16" s="498" t="s">
        <v>217</v>
      </c>
      <c r="I16" s="195"/>
      <c r="J16" s="96"/>
      <c r="K16" s="96"/>
      <c r="L16" s="96"/>
      <c r="M16" s="96"/>
    </row>
    <row r="17" spans="1:20" ht="20.25" customHeight="1" thickBot="1" x14ac:dyDescent="0.35">
      <c r="B17" s="7" t="s">
        <v>51</v>
      </c>
      <c r="C17" s="50"/>
      <c r="D17" s="50"/>
      <c r="E17" s="115"/>
      <c r="F17" s="139">
        <f>Compute!F22</f>
        <v>0</v>
      </c>
      <c r="G17" s="98"/>
      <c r="H17" s="498" t="s">
        <v>217</v>
      </c>
      <c r="I17" s="195"/>
      <c r="J17" s="96"/>
      <c r="K17" s="96"/>
      <c r="L17" s="96"/>
      <c r="M17" s="96"/>
    </row>
    <row r="18" spans="1:20" ht="20.25" customHeight="1" thickBot="1" x14ac:dyDescent="0.35">
      <c r="B18" s="7" t="s">
        <v>216</v>
      </c>
      <c r="C18" s="50"/>
      <c r="D18" s="50"/>
      <c r="E18" s="67"/>
      <c r="F18" s="183">
        <v>0.15</v>
      </c>
      <c r="G18" s="98"/>
      <c r="H18" s="379" t="s">
        <v>255</v>
      </c>
      <c r="I18" s="195"/>
    </row>
    <row r="19" spans="1:20" ht="20.25" customHeight="1" thickBot="1" x14ac:dyDescent="0.35">
      <c r="B19" s="91" t="str">
        <f>FIXED(AnalysisTerm,0)&amp;"-Year Future State Cost"</f>
        <v>10-Year Future State Cost</v>
      </c>
      <c r="C19" s="92"/>
      <c r="D19" s="92"/>
      <c r="E19" s="93"/>
      <c r="F19" s="102">
        <f>ROUND(F13*(F14*F16+F15*F17),0)*(1+AnalysisTerm*F18)</f>
        <v>893750</v>
      </c>
      <c r="G19" s="98"/>
      <c r="H19" s="500" t="s">
        <v>8</v>
      </c>
      <c r="I19" s="195"/>
      <c r="J19" s="96"/>
      <c r="K19" s="96"/>
      <c r="L19" s="96"/>
      <c r="M19" s="96"/>
    </row>
    <row r="20" spans="1:20" ht="20.25" customHeight="1" thickBot="1" x14ac:dyDescent="0.35">
      <c r="F20" s="96"/>
      <c r="G20" s="98"/>
      <c r="H20" s="95"/>
      <c r="I20" s="195"/>
      <c r="J20" s="96"/>
      <c r="K20" s="96"/>
      <c r="L20" s="96"/>
      <c r="M20" s="96"/>
    </row>
    <row r="21" spans="1:20" ht="20.25" customHeight="1" thickBot="1" x14ac:dyDescent="0.35">
      <c r="B21" s="883" t="s">
        <v>298</v>
      </c>
      <c r="C21" s="884"/>
      <c r="D21" s="884"/>
      <c r="E21" s="884"/>
      <c r="F21" s="885"/>
      <c r="G21" s="98"/>
      <c r="H21" s="95"/>
      <c r="I21" s="195"/>
      <c r="J21" s="96"/>
      <c r="K21" s="96"/>
      <c r="L21" s="96"/>
      <c r="M21" s="96"/>
    </row>
    <row r="22" spans="1:20" ht="20.25" customHeight="1" thickBot="1" x14ac:dyDescent="0.35">
      <c r="F22" s="96"/>
      <c r="G22" s="98"/>
      <c r="H22" s="95"/>
      <c r="I22" s="195"/>
      <c r="J22" s="96"/>
      <c r="K22" s="96"/>
      <c r="L22" s="96"/>
      <c r="M22" s="96"/>
    </row>
    <row r="23" spans="1:20" ht="16.2" thickBot="1" x14ac:dyDescent="0.35">
      <c r="A23" s="302" t="str">
        <f>IF('Initial Screens'!$D$26="Yes","Show","Hide")</f>
        <v>Hide</v>
      </c>
      <c r="B23" s="883" t="s">
        <v>611</v>
      </c>
      <c r="C23" s="884"/>
      <c r="D23" s="884"/>
      <c r="E23" s="884"/>
      <c r="F23" s="885"/>
      <c r="G23" s="286"/>
      <c r="H23" s="19"/>
      <c r="M23" s="99"/>
      <c r="N23" s="99"/>
      <c r="P23" s="96"/>
      <c r="Q23" s="100"/>
      <c r="R23" s="195"/>
      <c r="S23" s="95"/>
      <c r="T23" s="95"/>
    </row>
    <row r="24" spans="1:20" ht="16.5" customHeight="1" thickBot="1" x14ac:dyDescent="0.35">
      <c r="A24" s="302" t="str">
        <f>IF('Initial Screens'!$D$26="Yes","Show","Hide")</f>
        <v>Hide</v>
      </c>
      <c r="B24" s="206"/>
      <c r="C24" s="206"/>
      <c r="D24" s="206"/>
      <c r="E24" s="206"/>
      <c r="F24" s="206"/>
      <c r="G24" s="292"/>
      <c r="H24" s="287"/>
      <c r="M24" s="99"/>
      <c r="N24" s="99"/>
      <c r="P24" s="96"/>
      <c r="Q24" s="100"/>
      <c r="R24" s="195"/>
      <c r="S24" s="95"/>
      <c r="T24" s="95"/>
    </row>
    <row r="25" spans="1:20" ht="16.2" thickBot="1" x14ac:dyDescent="0.35">
      <c r="A25" s="302" t="str">
        <f>IF('Initial Screens'!$D$26="Yes","Show","Hide")</f>
        <v>Hide</v>
      </c>
      <c r="B25" s="5" t="s">
        <v>12</v>
      </c>
      <c r="C25" s="6"/>
      <c r="D25" s="6"/>
      <c r="E25" s="6"/>
      <c r="F25" s="72"/>
      <c r="G25" s="10"/>
      <c r="H25" s="11" t="s">
        <v>2</v>
      </c>
      <c r="M25" s="99"/>
      <c r="N25" s="99"/>
      <c r="P25" s="96"/>
      <c r="Q25" s="100"/>
      <c r="R25" s="195"/>
      <c r="S25" s="95"/>
      <c r="T25" s="95"/>
    </row>
    <row r="26" spans="1:20" ht="16.2" thickBot="1" x14ac:dyDescent="0.35">
      <c r="A26" s="302" t="str">
        <f>IF('Initial Screens'!$D$26="Yes","Show","Hide")</f>
        <v>Hide</v>
      </c>
      <c r="B26" s="7" t="s">
        <v>277</v>
      </c>
      <c r="C26" s="50"/>
      <c r="D26" s="50"/>
      <c r="E26" s="8"/>
      <c r="F26" s="288">
        <f>IF('Initial Screens'!D26="Yes",C43,0)</f>
        <v>0</v>
      </c>
      <c r="G26" s="497" t="s">
        <v>503</v>
      </c>
      <c r="H26" s="363" t="s">
        <v>278</v>
      </c>
      <c r="M26" s="99"/>
      <c r="N26" s="99"/>
      <c r="P26" s="96"/>
      <c r="Q26" s="100"/>
      <c r="R26" s="195"/>
      <c r="S26" s="95"/>
      <c r="T26" s="95"/>
    </row>
    <row r="27" spans="1:20" ht="16.2" thickBot="1" x14ac:dyDescent="0.35">
      <c r="A27" s="302" t="str">
        <f>IF('Initial Screens'!$D$26="Yes","Show","Hide")</f>
        <v>Hide</v>
      </c>
      <c r="B27" s="7" t="s">
        <v>279</v>
      </c>
      <c r="C27" s="50"/>
      <c r="D27" s="50"/>
      <c r="E27" s="8"/>
      <c r="F27" s="289">
        <v>87000</v>
      </c>
      <c r="G27" s="290"/>
      <c r="H27" s="363" t="s">
        <v>280</v>
      </c>
      <c r="M27" s="99"/>
      <c r="N27" s="99"/>
      <c r="P27" s="96"/>
      <c r="Q27" s="100"/>
      <c r="R27" s="195"/>
      <c r="S27" s="95"/>
      <c r="T27" s="95"/>
    </row>
    <row r="28" spans="1:20" ht="20.25" customHeight="1" thickBot="1" x14ac:dyDescent="0.35">
      <c r="A28" s="302" t="str">
        <f>IF('Initial Screens'!$D$26="Yes","Show","Hide")</f>
        <v>Hide</v>
      </c>
      <c r="B28" s="7" t="s">
        <v>216</v>
      </c>
      <c r="C28" s="50"/>
      <c r="D28" s="50"/>
      <c r="E28" s="67"/>
      <c r="F28" s="183">
        <v>0.15</v>
      </c>
      <c r="G28" s="98"/>
      <c r="H28" s="379" t="s">
        <v>255</v>
      </c>
      <c r="I28" s="195"/>
    </row>
    <row r="29" spans="1:20" ht="16.2" thickBot="1" x14ac:dyDescent="0.35">
      <c r="A29" s="302" t="str">
        <f>IF('Initial Screens'!$D$26="Yes","Show","Hide")</f>
        <v>Hide</v>
      </c>
      <c r="B29" s="91" t="str">
        <f>FIXED(AnalysisTerm,0)&amp;"-Year Current State Cost"</f>
        <v>10-Year Current State Cost</v>
      </c>
      <c r="C29" s="103"/>
      <c r="D29" s="103"/>
      <c r="E29" s="104"/>
      <c r="F29" s="147">
        <f>ROUND(F26*F27,0)*(1+AnalysisTerm*F28)</f>
        <v>0</v>
      </c>
      <c r="G29" s="291"/>
      <c r="H29" s="500" t="s">
        <v>8</v>
      </c>
      <c r="M29" s="99"/>
      <c r="N29" s="99"/>
      <c r="P29" s="96"/>
      <c r="Q29" s="100"/>
      <c r="R29" s="195"/>
      <c r="S29" s="95"/>
      <c r="T29" s="95"/>
    </row>
    <row r="30" spans="1:20" ht="16.2" thickBot="1" x14ac:dyDescent="0.35">
      <c r="A30" s="302" t="str">
        <f>IF('Initial Screens'!$D$26="Yes","Show","Hide")</f>
        <v>Hide</v>
      </c>
      <c r="B30" s="74" t="s">
        <v>13</v>
      </c>
      <c r="C30" s="75"/>
      <c r="D30" s="75"/>
      <c r="E30" s="67"/>
      <c r="F30" s="8"/>
      <c r="G30" s="290"/>
      <c r="H30" s="290"/>
      <c r="I30" s="290"/>
      <c r="M30" s="99"/>
      <c r="N30" s="99"/>
      <c r="P30" s="96"/>
      <c r="Q30" s="100"/>
      <c r="R30" s="195"/>
      <c r="S30" s="95"/>
      <c r="T30" s="95"/>
    </row>
    <row r="31" spans="1:20" ht="16.2" thickBot="1" x14ac:dyDescent="0.35">
      <c r="A31" s="302" t="str">
        <f>IF('Initial Screens'!$D$26="Yes","Show","Hide")</f>
        <v>Hide</v>
      </c>
      <c r="B31" s="7" t="str">
        <f>"Anticipated Percent of DC load balancers that can be retired (or purchases avoided) in "&amp;AnalysisTerm&amp;" years"</f>
        <v>Anticipated Percent of DC load balancers that can be retired (or purchases avoided) in 10 years</v>
      </c>
      <c r="C31" s="50"/>
      <c r="D31" s="50"/>
      <c r="E31" s="8"/>
      <c r="F31" s="87">
        <v>1</v>
      </c>
      <c r="G31" s="714"/>
      <c r="H31" s="60" t="s">
        <v>6</v>
      </c>
      <c r="M31" s="99"/>
      <c r="N31" s="99"/>
      <c r="P31" s="96"/>
      <c r="Q31" s="100"/>
      <c r="R31" s="195"/>
      <c r="S31" s="95"/>
      <c r="T31" s="95"/>
    </row>
    <row r="32" spans="1:20" ht="16.2" thickBot="1" x14ac:dyDescent="0.35">
      <c r="A32" s="302" t="str">
        <f>IF('Initial Screens'!$D$26="Yes","Show","Hide")</f>
        <v>Hide</v>
      </c>
      <c r="B32" s="7" t="s">
        <v>281</v>
      </c>
      <c r="C32" s="50"/>
      <c r="D32" s="50"/>
      <c r="E32" s="8"/>
      <c r="F32" s="89">
        <f>EVEN(F26*(1-F31))</f>
        <v>0</v>
      </c>
      <c r="G32" s="290"/>
      <c r="H32" s="500" t="s">
        <v>8</v>
      </c>
      <c r="M32" s="99"/>
      <c r="N32" s="99"/>
      <c r="P32" s="96"/>
      <c r="Q32" s="100"/>
      <c r="R32" s="195"/>
      <c r="S32" s="95"/>
      <c r="T32" s="95"/>
    </row>
    <row r="33" spans="1:20" ht="20.25" customHeight="1" thickBot="1" x14ac:dyDescent="0.35">
      <c r="A33" s="302" t="str">
        <f>IF('Initial Screens'!$D$26="Yes","Show","Hide")</f>
        <v>Hide</v>
      </c>
      <c r="B33" s="7" t="s">
        <v>216</v>
      </c>
      <c r="C33" s="50"/>
      <c r="D33" s="50"/>
      <c r="E33" s="67"/>
      <c r="F33" s="183">
        <v>0.15</v>
      </c>
      <c r="G33" s="98"/>
      <c r="H33" s="379" t="s">
        <v>255</v>
      </c>
      <c r="I33" s="195"/>
    </row>
    <row r="34" spans="1:20" ht="16.2" thickBot="1" x14ac:dyDescent="0.35">
      <c r="A34" s="302" t="str">
        <f>IF('Initial Screens'!$D$26="Yes","Show","Hide")</f>
        <v>Hide</v>
      </c>
      <c r="B34" s="91" t="str">
        <f>FIXED(AnalysisTerm,0)&amp;"-Year Future State Cost"</f>
        <v>10-Year Future State Cost</v>
      </c>
      <c r="C34" s="103"/>
      <c r="D34" s="103"/>
      <c r="E34" s="104"/>
      <c r="F34" s="102">
        <f>ROUND(F32*F27,0)*(1+AnalysisTerm*F33)</f>
        <v>0</v>
      </c>
      <c r="G34" s="180"/>
      <c r="H34" s="500" t="s">
        <v>8</v>
      </c>
      <c r="M34" s="99"/>
      <c r="N34" s="99"/>
      <c r="P34" s="96"/>
      <c r="Q34" s="100"/>
      <c r="R34" s="195"/>
      <c r="S34" s="95"/>
      <c r="T34" s="95"/>
    </row>
    <row r="35" spans="1:20" x14ac:dyDescent="0.3">
      <c r="A35" s="302" t="str">
        <f>IF('Initial Screens'!$D$26="Yes","Show","Hide")</f>
        <v>Hide</v>
      </c>
      <c r="B35" s="2"/>
      <c r="C35" s="2"/>
      <c r="D35" s="2"/>
      <c r="E35" s="2"/>
      <c r="F35" s="13"/>
      <c r="G35" s="13"/>
      <c r="H35" s="9"/>
      <c r="I35" s="286"/>
      <c r="J35" s="2"/>
    </row>
    <row r="36" spans="1:20" customFormat="1" x14ac:dyDescent="0.3">
      <c r="A36" s="302" t="str">
        <f>IF('Initial Screens'!$D$26="Yes","Show","Hide")</f>
        <v>Hide</v>
      </c>
      <c r="B36" s="298" t="s">
        <v>282</v>
      </c>
      <c r="C36" s="299"/>
      <c r="D36" s="299"/>
      <c r="E36" s="299"/>
      <c r="F36" s="300"/>
    </row>
    <row r="37" spans="1:20" customFormat="1" x14ac:dyDescent="0.3">
      <c r="A37" s="302" t="str">
        <f>IF('Initial Screens'!$D$26="Yes","Show","Hide")</f>
        <v>Hide</v>
      </c>
    </row>
    <row r="38" spans="1:20" customFormat="1" x14ac:dyDescent="0.3">
      <c r="A38" s="302" t="str">
        <f>IF('Initial Screens'!$D$26="Yes","Show","Hide")</f>
        <v>Hide</v>
      </c>
      <c r="B38" s="294" t="s">
        <v>283</v>
      </c>
      <c r="C38" s="295">
        <f>'Excel Output'!$D$23</f>
        <v>400</v>
      </c>
      <c r="D38" s="301"/>
      <c r="H38" s="60" t="s">
        <v>93</v>
      </c>
    </row>
    <row r="39" spans="1:20" customFormat="1" x14ac:dyDescent="0.3">
      <c r="A39" s="302" t="str">
        <f>IF('Initial Screens'!$D$26="Yes",IF(Compute!$D$68="No","Hide","Show"),"Hide")</f>
        <v>Hide</v>
      </c>
      <c r="B39" s="724" t="s">
        <v>655</v>
      </c>
      <c r="C39" s="725">
        <f>Compute!$F$73</f>
        <v>0</v>
      </c>
      <c r="D39" s="714"/>
      <c r="H39" s="611" t="s">
        <v>217</v>
      </c>
    </row>
    <row r="40" spans="1:20" customFormat="1" x14ac:dyDescent="0.3">
      <c r="A40" s="302" t="str">
        <f>IF('Initial Screens'!$D$26="Yes","Show","Hide")</f>
        <v>Hide</v>
      </c>
      <c r="B40" s="294" t="s">
        <v>284</v>
      </c>
      <c r="C40" s="296">
        <f>ROUND(4,1)</f>
        <v>4</v>
      </c>
      <c r="D40" s="301"/>
      <c r="H40" s="60" t="s">
        <v>6</v>
      </c>
    </row>
    <row r="41" spans="1:20" customFormat="1" x14ac:dyDescent="0.3">
      <c r="A41" s="302" t="str">
        <f>IF('Initial Screens'!$D$26="Yes","Show","Hide")</f>
        <v>Hide</v>
      </c>
      <c r="B41" s="294" t="s">
        <v>285</v>
      </c>
      <c r="C41" s="296">
        <f>ROUND(20,1)</f>
        <v>20</v>
      </c>
      <c r="D41" s="301"/>
      <c r="H41" s="60" t="s">
        <v>6</v>
      </c>
    </row>
    <row r="42" spans="1:20" customFormat="1" x14ac:dyDescent="0.3">
      <c r="A42" s="302" t="str">
        <f>IF('Initial Screens'!$D$26="Yes","Show","Hide")</f>
        <v>Hide</v>
      </c>
      <c r="B42" s="294" t="s">
        <v>286</v>
      </c>
      <c r="C42" s="121">
        <f>ROUND(25%,2)</f>
        <v>0.25</v>
      </c>
      <c r="D42" s="301"/>
      <c r="H42" s="60" t="s">
        <v>6</v>
      </c>
    </row>
    <row r="43" spans="1:20" customFormat="1" x14ac:dyDescent="0.3">
      <c r="A43" s="302" t="str">
        <f>IF('Initial Screens'!$D$26="Yes","Show","Hide")</f>
        <v>Hide</v>
      </c>
      <c r="B43" s="294" t="s">
        <v>287</v>
      </c>
      <c r="C43" s="297">
        <f>EVEN((C38+C39)*C40/C41*C42)</f>
        <v>20</v>
      </c>
      <c r="D43" s="301"/>
      <c r="H43" s="500" t="s">
        <v>8</v>
      </c>
    </row>
    <row r="44" spans="1:20" ht="16.2" thickBot="1" x14ac:dyDescent="0.35">
      <c r="A44" s="95"/>
      <c r="D44" s="301"/>
    </row>
    <row r="45" spans="1:20" ht="16.2" thickBot="1" x14ac:dyDescent="0.35">
      <c r="A45" s="302" t="str">
        <f>IF('Initial Screens'!$D$27="Yes","Show","Hide")</f>
        <v>Hide</v>
      </c>
      <c r="B45" s="883" t="s">
        <v>612</v>
      </c>
      <c r="C45" s="884"/>
      <c r="D45" s="884"/>
      <c r="E45" s="884"/>
      <c r="F45" s="885"/>
      <c r="G45" s="180"/>
      <c r="H45" s="17"/>
      <c r="M45" s="99"/>
      <c r="N45" s="99"/>
      <c r="P45" s="96"/>
      <c r="Q45" s="100"/>
      <c r="R45" s="195"/>
      <c r="S45" s="95"/>
      <c r="T45" s="95"/>
    </row>
    <row r="46" spans="1:20" ht="16.5" customHeight="1" thickBot="1" x14ac:dyDescent="0.35">
      <c r="A46" s="302" t="str">
        <f>IF('Initial Screens'!$D$27="Yes","Show","Hide")</f>
        <v>Hide</v>
      </c>
      <c r="B46" s="206"/>
      <c r="C46" s="206"/>
      <c r="D46" s="206"/>
      <c r="E46" s="206"/>
      <c r="F46" s="206"/>
      <c r="G46" s="206"/>
      <c r="H46" s="287"/>
      <c r="M46" s="99"/>
      <c r="N46" s="99"/>
      <c r="P46" s="96"/>
      <c r="Q46" s="100"/>
      <c r="R46" s="195"/>
      <c r="S46" s="95"/>
      <c r="T46" s="95"/>
    </row>
    <row r="47" spans="1:20" ht="16.2" thickBot="1" x14ac:dyDescent="0.35">
      <c r="A47" s="302" t="str">
        <f>IF('Initial Screens'!$D$27="Yes","Show","Hide")</f>
        <v>Hide</v>
      </c>
      <c r="B47" s="5" t="s">
        <v>12</v>
      </c>
      <c r="C47" s="6"/>
      <c r="D47" s="6"/>
      <c r="E47" s="6"/>
      <c r="F47" s="72"/>
      <c r="G47" s="10"/>
      <c r="H47" s="11" t="s">
        <v>2</v>
      </c>
      <c r="M47" s="99"/>
      <c r="N47" s="99"/>
      <c r="P47" s="96"/>
      <c r="Q47" s="100"/>
      <c r="R47" s="195"/>
      <c r="S47" s="95"/>
      <c r="T47" s="95"/>
    </row>
    <row r="48" spans="1:20" ht="16.2" thickBot="1" x14ac:dyDescent="0.35">
      <c r="A48" s="302" t="str">
        <f>IF('Initial Screens'!$D$27="Yes","Show","Hide")</f>
        <v>Hide</v>
      </c>
      <c r="B48" s="7" t="s">
        <v>289</v>
      </c>
      <c r="C48" s="50"/>
      <c r="D48" s="50"/>
      <c r="E48" s="8"/>
      <c r="F48" s="288">
        <f>IF('Initial Screens'!D27="Yes",C65,0)</f>
        <v>0</v>
      </c>
      <c r="G48" s="497" t="s">
        <v>503</v>
      </c>
      <c r="H48" s="363" t="s">
        <v>290</v>
      </c>
      <c r="M48" s="99"/>
      <c r="N48" s="99"/>
      <c r="P48" s="96"/>
      <c r="Q48" s="100"/>
      <c r="R48" s="195"/>
      <c r="S48" s="95"/>
      <c r="T48" s="95"/>
    </row>
    <row r="49" spans="1:20" ht="16.2" thickBot="1" x14ac:dyDescent="0.35">
      <c r="A49" s="302" t="str">
        <f>IF('Initial Screens'!$D$27="Yes","Show","Hide")</f>
        <v>Hide</v>
      </c>
      <c r="B49" s="7" t="s">
        <v>291</v>
      </c>
      <c r="C49" s="50"/>
      <c r="D49" s="50"/>
      <c r="E49" s="8"/>
      <c r="F49" s="289">
        <f>ROUND(90000,0)</f>
        <v>90000</v>
      </c>
      <c r="G49" s="290"/>
      <c r="H49" s="363" t="s">
        <v>292</v>
      </c>
      <c r="M49" s="99"/>
      <c r="N49" s="99"/>
      <c r="P49" s="96"/>
      <c r="Q49" s="100"/>
      <c r="R49" s="195"/>
      <c r="S49" s="95"/>
      <c r="T49" s="95"/>
    </row>
    <row r="50" spans="1:20" ht="20.25" customHeight="1" thickBot="1" x14ac:dyDescent="0.35">
      <c r="A50" s="302" t="str">
        <f>IF('Initial Screens'!$D$27="Yes","Show","Hide")</f>
        <v>Hide</v>
      </c>
      <c r="B50" s="7" t="s">
        <v>216</v>
      </c>
      <c r="C50" s="50"/>
      <c r="D50" s="50"/>
      <c r="E50" s="67"/>
      <c r="F50" s="183">
        <v>0.15</v>
      </c>
      <c r="G50" s="98"/>
      <c r="H50" s="379" t="s">
        <v>255</v>
      </c>
      <c r="I50" s="195"/>
    </row>
    <row r="51" spans="1:20" ht="16.2" thickBot="1" x14ac:dyDescent="0.35">
      <c r="A51" s="302" t="str">
        <f>IF('Initial Screens'!$D$27="Yes","Show","Hide")</f>
        <v>Hide</v>
      </c>
      <c r="B51" s="91" t="str">
        <f>FIXED(AnalysisTerm,0)&amp;"-Year Current State Cost"</f>
        <v>10-Year Current State Cost</v>
      </c>
      <c r="C51" s="103"/>
      <c r="D51" s="103"/>
      <c r="E51" s="104"/>
      <c r="F51" s="147">
        <f>ROUND(F48*F49,0)*(1+AnalysisTerm*F50)</f>
        <v>0</v>
      </c>
      <c r="G51" s="291"/>
      <c r="H51" s="500" t="s">
        <v>8</v>
      </c>
      <c r="M51" s="99"/>
      <c r="N51" s="99"/>
      <c r="P51" s="96"/>
      <c r="Q51" s="100"/>
      <c r="R51" s="195"/>
      <c r="S51" s="95"/>
      <c r="T51" s="95"/>
    </row>
    <row r="52" spans="1:20" ht="16.2" thickBot="1" x14ac:dyDescent="0.35">
      <c r="A52" s="302" t="str">
        <f>IF('Initial Screens'!$D$27="Yes","Show","Hide")</f>
        <v>Hide</v>
      </c>
      <c r="B52" s="74" t="s">
        <v>13</v>
      </c>
      <c r="C52" s="75"/>
      <c r="D52" s="75"/>
      <c r="E52" s="67"/>
      <c r="F52" s="67"/>
      <c r="G52" s="290"/>
      <c r="H52" s="149"/>
      <c r="M52" s="99"/>
      <c r="N52" s="99"/>
      <c r="P52" s="96"/>
      <c r="Q52" s="100"/>
      <c r="R52" s="195"/>
      <c r="S52" s="95"/>
      <c r="T52" s="95"/>
    </row>
    <row r="53" spans="1:20" ht="16.2" thickBot="1" x14ac:dyDescent="0.35">
      <c r="A53" s="302" t="str">
        <f>IF('Initial Screens'!$D$27="Yes","Show","Hide")</f>
        <v>Hide</v>
      </c>
      <c r="B53" s="7" t="str">
        <f>"Anticipated Percent of DC firewalls that can be retired (or purchases avoided) in "&amp;AnalysisTerm&amp;" years"</f>
        <v>Anticipated Percent of DC firewalls that can be retired (or purchases avoided) in 10 years</v>
      </c>
      <c r="C53" s="50"/>
      <c r="D53" s="50"/>
      <c r="E53" s="8"/>
      <c r="F53" s="87">
        <f>ROUND(70%,3)</f>
        <v>0.7</v>
      </c>
      <c r="G53" s="290"/>
      <c r="H53" s="60" t="s">
        <v>6</v>
      </c>
      <c r="M53" s="99"/>
      <c r="N53" s="99"/>
      <c r="P53" s="96"/>
      <c r="Q53" s="100"/>
      <c r="R53" s="195"/>
      <c r="S53" s="95"/>
      <c r="T53" s="95"/>
    </row>
    <row r="54" spans="1:20" ht="16.2" thickBot="1" x14ac:dyDescent="0.35">
      <c r="A54" s="302" t="str">
        <f>IF('Initial Screens'!$D$27="Yes","Show","Hide")</f>
        <v>Hide</v>
      </c>
      <c r="B54" s="7" t="s">
        <v>293</v>
      </c>
      <c r="C54" s="50"/>
      <c r="D54" s="50"/>
      <c r="E54" s="8"/>
      <c r="F54" s="89">
        <f>ROUND(F48*(1-F53),0)</f>
        <v>0</v>
      </c>
      <c r="G54" s="290"/>
      <c r="H54" s="500" t="s">
        <v>8</v>
      </c>
      <c r="M54" s="99"/>
      <c r="N54" s="99"/>
      <c r="P54" s="96"/>
      <c r="Q54" s="100"/>
      <c r="R54" s="195"/>
      <c r="S54" s="95"/>
      <c r="T54" s="95"/>
    </row>
    <row r="55" spans="1:20" ht="20.25" customHeight="1" thickBot="1" x14ac:dyDescent="0.35">
      <c r="A55" s="302" t="str">
        <f>IF('Initial Screens'!$D$27="Yes","Show","Hide")</f>
        <v>Hide</v>
      </c>
      <c r="B55" s="7" t="s">
        <v>216</v>
      </c>
      <c r="C55" s="50"/>
      <c r="D55" s="50"/>
      <c r="E55" s="67"/>
      <c r="F55" s="183">
        <v>0.15</v>
      </c>
      <c r="G55" s="98"/>
      <c r="H55" s="379" t="s">
        <v>255</v>
      </c>
      <c r="I55" s="195"/>
    </row>
    <row r="56" spans="1:20" ht="16.2" thickBot="1" x14ac:dyDescent="0.35">
      <c r="A56" s="302" t="str">
        <f>IF('Initial Screens'!$D$27="Yes","Show","Hide")</f>
        <v>Hide</v>
      </c>
      <c r="B56" s="91" t="str">
        <f>FIXED(AnalysisTerm,0)&amp;"-Year Future State Cost"</f>
        <v>10-Year Future State Cost</v>
      </c>
      <c r="C56" s="103"/>
      <c r="D56" s="103"/>
      <c r="E56" s="104"/>
      <c r="F56" s="102">
        <f>ROUND(F54*F49,0)*(1+AnalysisTerm*F55)</f>
        <v>0</v>
      </c>
      <c r="G56" s="180"/>
      <c r="H56" s="500" t="s">
        <v>8</v>
      </c>
      <c r="M56" s="99"/>
      <c r="N56" s="99"/>
      <c r="P56" s="96"/>
      <c r="Q56" s="100"/>
      <c r="R56" s="195"/>
      <c r="S56" s="95"/>
      <c r="T56" s="95"/>
    </row>
    <row r="57" spans="1:20" x14ac:dyDescent="0.3">
      <c r="A57" s="302" t="str">
        <f>IF('Initial Screens'!$D$27="Yes","Show","Hide")</f>
        <v>Hide</v>
      </c>
      <c r="F57" s="210"/>
      <c r="G57" s="95"/>
      <c r="H57" s="95"/>
      <c r="M57" s="99"/>
      <c r="N57" s="99"/>
      <c r="P57" s="96"/>
      <c r="Q57" s="100"/>
      <c r="R57" s="195"/>
      <c r="S57" s="95"/>
      <c r="T57" s="95"/>
    </row>
    <row r="58" spans="1:20" customFormat="1" x14ac:dyDescent="0.3">
      <c r="A58" s="302" t="str">
        <f>IF('Initial Screens'!$D$27="Yes","Show","Hide")</f>
        <v>Hide</v>
      </c>
      <c r="B58" s="298" t="s">
        <v>294</v>
      </c>
      <c r="C58" s="299"/>
      <c r="D58" s="299"/>
      <c r="E58" s="299"/>
      <c r="F58" s="300"/>
    </row>
    <row r="59" spans="1:20" customFormat="1" x14ac:dyDescent="0.3">
      <c r="A59" s="302" t="str">
        <f>IF('Initial Screens'!$D$27="Yes","Show","Hide")</f>
        <v>Hide</v>
      </c>
    </row>
    <row r="60" spans="1:20" customFormat="1" x14ac:dyDescent="0.3">
      <c r="A60" s="302" t="str">
        <f>IF('Initial Screens'!$D$27="Yes","Show","Hide")</f>
        <v>Hide</v>
      </c>
      <c r="B60" s="294" t="s">
        <v>70</v>
      </c>
      <c r="C60" s="295">
        <f>'Excel Output'!$D$23</f>
        <v>400</v>
      </c>
      <c r="H60" s="60" t="s">
        <v>93</v>
      </c>
    </row>
    <row r="61" spans="1:20" customFormat="1" x14ac:dyDescent="0.3">
      <c r="A61" s="302" t="str">
        <f>IF('Initial Screens'!$D$26="Yes",IF(Compute!$D$68="No","Hide","Show"),"Hide")</f>
        <v>Hide</v>
      </c>
      <c r="B61" s="724" t="s">
        <v>655</v>
      </c>
      <c r="C61" s="725">
        <f>Compute!$F$73</f>
        <v>0</v>
      </c>
      <c r="D61" s="714"/>
      <c r="H61" s="611" t="s">
        <v>217</v>
      </c>
    </row>
    <row r="62" spans="1:20" customFormat="1" x14ac:dyDescent="0.3">
      <c r="A62" s="302" t="str">
        <f>IF('Initial Screens'!$D$27="Yes","Show","Hide")</f>
        <v>Hide</v>
      </c>
      <c r="B62" s="294" t="s">
        <v>284</v>
      </c>
      <c r="C62" s="296">
        <f>ROUND(4,1)</f>
        <v>4</v>
      </c>
      <c r="H62" s="60" t="s">
        <v>6</v>
      </c>
    </row>
    <row r="63" spans="1:20" customFormat="1" x14ac:dyDescent="0.3">
      <c r="A63" s="302" t="str">
        <f>IF('Initial Screens'!$D$27="Yes","Show","Hide")</f>
        <v>Hide</v>
      </c>
      <c r="B63" s="294" t="s">
        <v>295</v>
      </c>
      <c r="C63" s="296">
        <f>ROUND(20,1)</f>
        <v>20</v>
      </c>
      <c r="H63" s="60" t="s">
        <v>6</v>
      </c>
    </row>
    <row r="64" spans="1:20" customFormat="1" x14ac:dyDescent="0.3">
      <c r="A64" s="302" t="str">
        <f>IF('Initial Screens'!$D$27="Yes","Show","Hide")</f>
        <v>Hide</v>
      </c>
      <c r="B64" s="294" t="s">
        <v>296</v>
      </c>
      <c r="C64" s="121">
        <f>ROUND(30%,2)</f>
        <v>0.3</v>
      </c>
      <c r="H64" s="60" t="s">
        <v>6</v>
      </c>
    </row>
    <row r="65" spans="1:8" customFormat="1" x14ac:dyDescent="0.3">
      <c r="A65" s="302" t="str">
        <f>IF('Initial Screens'!$D$27="Yes","Show","Hide")</f>
        <v>Hide</v>
      </c>
      <c r="B65" s="294" t="s">
        <v>297</v>
      </c>
      <c r="C65" s="297">
        <f>EVEN((C60+C61)*C62/C63*C64)</f>
        <v>24</v>
      </c>
      <c r="H65" s="500" t="s">
        <v>8</v>
      </c>
    </row>
    <row r="71" spans="1:8" x14ac:dyDescent="0.3">
      <c r="B71" s="195"/>
    </row>
    <row r="123" spans="2:20" ht="20.25" customHeight="1" x14ac:dyDescent="0.3">
      <c r="B123" s="255"/>
      <c r="C123" s="256"/>
      <c r="D123" s="148"/>
      <c r="E123" s="148"/>
      <c r="F123" s="96"/>
      <c r="G123" s="98"/>
      <c r="H123" s="95"/>
      <c r="I123" s="195"/>
    </row>
    <row r="124" spans="2:20" ht="10.050000000000001" customHeight="1" x14ac:dyDescent="0.3">
      <c r="G124" s="98"/>
      <c r="H124" s="211"/>
      <c r="O124" s="95"/>
      <c r="P124" s="95"/>
      <c r="Q124" s="95"/>
      <c r="R124" s="95"/>
      <c r="S124" s="95"/>
      <c r="T124" s="95"/>
    </row>
    <row r="125" spans="2:20" collapsed="1" x14ac:dyDescent="0.3">
      <c r="G125" s="98"/>
    </row>
    <row r="126" spans="2:20" x14ac:dyDescent="0.3">
      <c r="G126" s="98"/>
    </row>
    <row r="127" spans="2:20" x14ac:dyDescent="0.3">
      <c r="G127" s="98"/>
    </row>
    <row r="128" spans="2:20" x14ac:dyDescent="0.3">
      <c r="G128" s="98"/>
    </row>
    <row r="129" spans="7:7" x14ac:dyDescent="0.3">
      <c r="G129" s="98"/>
    </row>
    <row r="130" spans="7:7" x14ac:dyDescent="0.3">
      <c r="G130" s="98"/>
    </row>
    <row r="131" spans="7:7" x14ac:dyDescent="0.3">
      <c r="G131" s="98"/>
    </row>
    <row r="132" spans="7:7" x14ac:dyDescent="0.3">
      <c r="G132" s="98"/>
    </row>
    <row r="133" spans="7:7" x14ac:dyDescent="0.3">
      <c r="G133" s="98"/>
    </row>
    <row r="134" spans="7:7" x14ac:dyDescent="0.3">
      <c r="G134" s="98"/>
    </row>
    <row r="135" spans="7:7" x14ac:dyDescent="0.3">
      <c r="G135" s="98"/>
    </row>
    <row r="136" spans="7:7" x14ac:dyDescent="0.3">
      <c r="G136" s="98"/>
    </row>
    <row r="137" spans="7:7" x14ac:dyDescent="0.3">
      <c r="G137" s="98"/>
    </row>
    <row r="138" spans="7:7" x14ac:dyDescent="0.3">
      <c r="G138" s="98"/>
    </row>
    <row r="139" spans="7:7" x14ac:dyDescent="0.3">
      <c r="G139" s="98"/>
    </row>
    <row r="140" spans="7:7" x14ac:dyDescent="0.3">
      <c r="G140" s="98"/>
    </row>
    <row r="141" spans="7:7" x14ac:dyDescent="0.3">
      <c r="G141" s="98"/>
    </row>
    <row r="142" spans="7:7" x14ac:dyDescent="0.3">
      <c r="G142" s="98"/>
    </row>
    <row r="143" spans="7:7" x14ac:dyDescent="0.3">
      <c r="G143" s="98"/>
    </row>
    <row r="144" spans="7:7" x14ac:dyDescent="0.3">
      <c r="G144" s="98"/>
    </row>
    <row r="145" spans="7:7" x14ac:dyDescent="0.3">
      <c r="G145" s="98"/>
    </row>
    <row r="146" spans="7:7" x14ac:dyDescent="0.3">
      <c r="G146" s="98"/>
    </row>
    <row r="147" spans="7:7" x14ac:dyDescent="0.3">
      <c r="G147" s="98"/>
    </row>
    <row r="148" spans="7:7" x14ac:dyDescent="0.3">
      <c r="G148" s="98"/>
    </row>
    <row r="149" spans="7:7" x14ac:dyDescent="0.3">
      <c r="G149" s="98"/>
    </row>
    <row r="150" spans="7:7" x14ac:dyDescent="0.3">
      <c r="G150" s="98"/>
    </row>
    <row r="151" spans="7:7" x14ac:dyDescent="0.3">
      <c r="G151" s="98"/>
    </row>
    <row r="152" spans="7:7" x14ac:dyDescent="0.3">
      <c r="G152" s="98"/>
    </row>
    <row r="153" spans="7:7" x14ac:dyDescent="0.3">
      <c r="G153" s="98"/>
    </row>
    <row r="154" spans="7:7" x14ac:dyDescent="0.3">
      <c r="G154" s="98"/>
    </row>
    <row r="155" spans="7:7" x14ac:dyDescent="0.3">
      <c r="G155" s="98"/>
    </row>
    <row r="156" spans="7:7" x14ac:dyDescent="0.3">
      <c r="G156" s="98"/>
    </row>
    <row r="157" spans="7:7" x14ac:dyDescent="0.3">
      <c r="G157" s="98"/>
    </row>
    <row r="158" spans="7:7" x14ac:dyDescent="0.3">
      <c r="G158" s="98"/>
    </row>
    <row r="159" spans="7:7" x14ac:dyDescent="0.3">
      <c r="G159" s="98"/>
    </row>
    <row r="160" spans="7:7" x14ac:dyDescent="0.3">
      <c r="G160" s="98"/>
    </row>
    <row r="161" spans="7:7" x14ac:dyDescent="0.3">
      <c r="G161" s="98"/>
    </row>
    <row r="162" spans="7:7" x14ac:dyDescent="0.3">
      <c r="G162" s="98"/>
    </row>
    <row r="163" spans="7:7" x14ac:dyDescent="0.3">
      <c r="G163" s="98"/>
    </row>
    <row r="164" spans="7:7" x14ac:dyDescent="0.3">
      <c r="G164" s="98"/>
    </row>
    <row r="165" spans="7:7" x14ac:dyDescent="0.3">
      <c r="G165" s="98"/>
    </row>
    <row r="166" spans="7:7" x14ac:dyDescent="0.3">
      <c r="G166" s="98"/>
    </row>
    <row r="167" spans="7:7" x14ac:dyDescent="0.3">
      <c r="G167" s="98"/>
    </row>
    <row r="168" spans="7:7" x14ac:dyDescent="0.3">
      <c r="G168" s="98"/>
    </row>
    <row r="169" spans="7:7" x14ac:dyDescent="0.3">
      <c r="G169" s="98"/>
    </row>
    <row r="170" spans="7:7" x14ac:dyDescent="0.3">
      <c r="G170" s="98"/>
    </row>
    <row r="171" spans="7:7" x14ac:dyDescent="0.3">
      <c r="G171" s="98"/>
    </row>
    <row r="172" spans="7:7" x14ac:dyDescent="0.3">
      <c r="G172" s="98"/>
    </row>
    <row r="173" spans="7:7" x14ac:dyDescent="0.3">
      <c r="G173" s="98"/>
    </row>
    <row r="174" spans="7:7" x14ac:dyDescent="0.3">
      <c r="G174" s="98"/>
    </row>
    <row r="175" spans="7:7" x14ac:dyDescent="0.3">
      <c r="G175" s="98"/>
    </row>
    <row r="176" spans="7:7" x14ac:dyDescent="0.3">
      <c r="G176" s="98"/>
    </row>
    <row r="177" spans="7:7" x14ac:dyDescent="0.3">
      <c r="G177" s="98"/>
    </row>
    <row r="178" spans="7:7" x14ac:dyDescent="0.3">
      <c r="G178" s="98"/>
    </row>
    <row r="179" spans="7:7" x14ac:dyDescent="0.3">
      <c r="G179" s="98"/>
    </row>
    <row r="180" spans="7:7" x14ac:dyDescent="0.3">
      <c r="G180" s="98"/>
    </row>
    <row r="181" spans="7:7" x14ac:dyDescent="0.3">
      <c r="G181" s="98"/>
    </row>
    <row r="182" spans="7:7" x14ac:dyDescent="0.3">
      <c r="G182" s="98"/>
    </row>
    <row r="183" spans="7:7" x14ac:dyDescent="0.3">
      <c r="G183" s="98"/>
    </row>
    <row r="184" spans="7:7" x14ac:dyDescent="0.3">
      <c r="G184" s="98"/>
    </row>
    <row r="185" spans="7:7" x14ac:dyDescent="0.3">
      <c r="G185" s="98"/>
    </row>
    <row r="186" spans="7:7" x14ac:dyDescent="0.3">
      <c r="G186" s="98"/>
    </row>
    <row r="187" spans="7:7" x14ac:dyDescent="0.3">
      <c r="G187" s="98"/>
    </row>
    <row r="188" spans="7:7" x14ac:dyDescent="0.3">
      <c r="G188" s="98"/>
    </row>
    <row r="189" spans="7:7" x14ac:dyDescent="0.3">
      <c r="G189" s="98"/>
    </row>
    <row r="190" spans="7:7" x14ac:dyDescent="0.3">
      <c r="G190" s="98"/>
    </row>
    <row r="191" spans="7:7" x14ac:dyDescent="0.3">
      <c r="G191" s="98"/>
    </row>
    <row r="192" spans="7:7" x14ac:dyDescent="0.3">
      <c r="G192" s="98"/>
    </row>
    <row r="193" spans="7:7" x14ac:dyDescent="0.3">
      <c r="G193" s="98"/>
    </row>
    <row r="194" spans="7:7" x14ac:dyDescent="0.3">
      <c r="G194" s="98"/>
    </row>
    <row r="195" spans="7:7" x14ac:dyDescent="0.3">
      <c r="G195" s="98"/>
    </row>
    <row r="196" spans="7:7" x14ac:dyDescent="0.3">
      <c r="G196" s="98"/>
    </row>
    <row r="197" spans="7:7" x14ac:dyDescent="0.3">
      <c r="G197" s="98"/>
    </row>
    <row r="198" spans="7:7" x14ac:dyDescent="0.3">
      <c r="G198" s="98"/>
    </row>
    <row r="199" spans="7:7" x14ac:dyDescent="0.3">
      <c r="G199" s="98"/>
    </row>
    <row r="200" spans="7:7" x14ac:dyDescent="0.3">
      <c r="G200" s="98"/>
    </row>
    <row r="201" spans="7:7" x14ac:dyDescent="0.3">
      <c r="G201" s="98"/>
    </row>
    <row r="202" spans="7:7" x14ac:dyDescent="0.3">
      <c r="G202" s="98"/>
    </row>
    <row r="203" spans="7:7" x14ac:dyDescent="0.3">
      <c r="G203" s="98"/>
    </row>
    <row r="204" spans="7:7" x14ac:dyDescent="0.3">
      <c r="G204" s="98"/>
    </row>
    <row r="205" spans="7:7" x14ac:dyDescent="0.3">
      <c r="G205" s="98"/>
    </row>
    <row r="206" spans="7:7" x14ac:dyDescent="0.3">
      <c r="G206" s="98"/>
    </row>
    <row r="207" spans="7:7" x14ac:dyDescent="0.3">
      <c r="G207" s="98"/>
    </row>
    <row r="208" spans="7:7" x14ac:dyDescent="0.3">
      <c r="G208" s="98"/>
    </row>
    <row r="209" spans="7:7" x14ac:dyDescent="0.3">
      <c r="G209" s="98"/>
    </row>
    <row r="210" spans="7:7" x14ac:dyDescent="0.3">
      <c r="G210" s="98"/>
    </row>
    <row r="211" spans="7:7" x14ac:dyDescent="0.3">
      <c r="G211" s="98"/>
    </row>
    <row r="212" spans="7:7" x14ac:dyDescent="0.3">
      <c r="G212" s="98"/>
    </row>
    <row r="213" spans="7:7" x14ac:dyDescent="0.3">
      <c r="G213" s="98"/>
    </row>
    <row r="214" spans="7:7" x14ac:dyDescent="0.3">
      <c r="G214" s="98"/>
    </row>
    <row r="215" spans="7:7" x14ac:dyDescent="0.3">
      <c r="G215" s="98"/>
    </row>
    <row r="216" spans="7:7" x14ac:dyDescent="0.3">
      <c r="G216" s="98"/>
    </row>
    <row r="217" spans="7:7" x14ac:dyDescent="0.3">
      <c r="G217" s="98"/>
    </row>
    <row r="218" spans="7:7" x14ac:dyDescent="0.3">
      <c r="G218" s="98"/>
    </row>
    <row r="219" spans="7:7" x14ac:dyDescent="0.3">
      <c r="G219" s="98"/>
    </row>
    <row r="220" spans="7:7" x14ac:dyDescent="0.3">
      <c r="G220" s="98"/>
    </row>
    <row r="221" spans="7:7" x14ac:dyDescent="0.3">
      <c r="G221" s="98"/>
    </row>
    <row r="222" spans="7:7" x14ac:dyDescent="0.3">
      <c r="G222" s="98"/>
    </row>
    <row r="223" spans="7:7" x14ac:dyDescent="0.3">
      <c r="G223" s="98"/>
    </row>
    <row r="224" spans="7:7" x14ac:dyDescent="0.3">
      <c r="G224" s="98"/>
    </row>
    <row r="225" spans="7:7" x14ac:dyDescent="0.3">
      <c r="G225" s="98"/>
    </row>
    <row r="226" spans="7:7" x14ac:dyDescent="0.3">
      <c r="G226" s="98"/>
    </row>
    <row r="227" spans="7:7" x14ac:dyDescent="0.3">
      <c r="G227" s="98"/>
    </row>
    <row r="228" spans="7:7" x14ac:dyDescent="0.3">
      <c r="G228" s="98"/>
    </row>
    <row r="229" spans="7:7" x14ac:dyDescent="0.3">
      <c r="G229" s="98"/>
    </row>
    <row r="230" spans="7:7" x14ac:dyDescent="0.3">
      <c r="G230" s="98"/>
    </row>
    <row r="231" spans="7:7" x14ac:dyDescent="0.3">
      <c r="G231" s="98"/>
    </row>
    <row r="232" spans="7:7" x14ac:dyDescent="0.3">
      <c r="G232" s="98"/>
    </row>
    <row r="233" spans="7:7" x14ac:dyDescent="0.3">
      <c r="G233" s="98"/>
    </row>
    <row r="234" spans="7:7" x14ac:dyDescent="0.3">
      <c r="G234" s="98"/>
    </row>
    <row r="235" spans="7:7" x14ac:dyDescent="0.3">
      <c r="G235" s="98"/>
    </row>
    <row r="236" spans="7:7" x14ac:dyDescent="0.3">
      <c r="G236" s="98"/>
    </row>
    <row r="237" spans="7:7" x14ac:dyDescent="0.3">
      <c r="G237" s="98"/>
    </row>
    <row r="238" spans="7:7" x14ac:dyDescent="0.3">
      <c r="G238" s="98"/>
    </row>
    <row r="239" spans="7:7" x14ac:dyDescent="0.3">
      <c r="G239" s="98"/>
    </row>
    <row r="240" spans="7:7" x14ac:dyDescent="0.3">
      <c r="G240" s="98"/>
    </row>
    <row r="241" spans="7:7" x14ac:dyDescent="0.3">
      <c r="G241" s="98"/>
    </row>
    <row r="242" spans="7:7" x14ac:dyDescent="0.3">
      <c r="G242" s="98"/>
    </row>
    <row r="243" spans="7:7" x14ac:dyDescent="0.3">
      <c r="G243" s="98"/>
    </row>
    <row r="244" spans="7:7" x14ac:dyDescent="0.3">
      <c r="G244" s="98"/>
    </row>
    <row r="245" spans="7:7" x14ac:dyDescent="0.3">
      <c r="G245" s="98"/>
    </row>
    <row r="246" spans="7:7" x14ac:dyDescent="0.3">
      <c r="G246" s="98"/>
    </row>
    <row r="247" spans="7:7" x14ac:dyDescent="0.3">
      <c r="G247" s="98"/>
    </row>
    <row r="248" spans="7:7" x14ac:dyDescent="0.3">
      <c r="G248" s="98"/>
    </row>
    <row r="249" spans="7:7" x14ac:dyDescent="0.3">
      <c r="G249" s="98"/>
    </row>
    <row r="250" spans="7:7" x14ac:dyDescent="0.3">
      <c r="G250" s="98"/>
    </row>
    <row r="251" spans="7:7" x14ac:dyDescent="0.3">
      <c r="G251" s="98"/>
    </row>
    <row r="252" spans="7:7" x14ac:dyDescent="0.3">
      <c r="G252" s="98"/>
    </row>
    <row r="253" spans="7:7" x14ac:dyDescent="0.3">
      <c r="G253" s="98"/>
    </row>
    <row r="254" spans="7:7" x14ac:dyDescent="0.3">
      <c r="G254" s="98"/>
    </row>
    <row r="255" spans="7:7" x14ac:dyDescent="0.3">
      <c r="G255" s="98"/>
    </row>
    <row r="256" spans="7:7" x14ac:dyDescent="0.3">
      <c r="G256" s="98"/>
    </row>
    <row r="257" spans="7:7" x14ac:dyDescent="0.3">
      <c r="G257" s="98"/>
    </row>
    <row r="258" spans="7:7" x14ac:dyDescent="0.3">
      <c r="G258" s="98"/>
    </row>
    <row r="259" spans="7:7" x14ac:dyDescent="0.3">
      <c r="G259" s="98"/>
    </row>
    <row r="260" spans="7:7" x14ac:dyDescent="0.3">
      <c r="G260" s="98"/>
    </row>
    <row r="261" spans="7:7" x14ac:dyDescent="0.3">
      <c r="G261" s="98"/>
    </row>
    <row r="262" spans="7:7" x14ac:dyDescent="0.3">
      <c r="G262" s="98"/>
    </row>
    <row r="263" spans="7:7" x14ac:dyDescent="0.3">
      <c r="G263" s="98"/>
    </row>
    <row r="264" spans="7:7" x14ac:dyDescent="0.3">
      <c r="G264" s="98"/>
    </row>
    <row r="265" spans="7:7" x14ac:dyDescent="0.3">
      <c r="G265" s="98"/>
    </row>
    <row r="266" spans="7:7" x14ac:dyDescent="0.3">
      <c r="G266" s="98"/>
    </row>
    <row r="267" spans="7:7" x14ac:dyDescent="0.3">
      <c r="G267" s="98"/>
    </row>
    <row r="268" spans="7:7" x14ac:dyDescent="0.3">
      <c r="G268" s="98"/>
    </row>
    <row r="269" spans="7:7" x14ac:dyDescent="0.3">
      <c r="G269" s="98"/>
    </row>
    <row r="270" spans="7:7" x14ac:dyDescent="0.3">
      <c r="G270" s="98"/>
    </row>
    <row r="271" spans="7:7" x14ac:dyDescent="0.3">
      <c r="G271" s="98"/>
    </row>
    <row r="272" spans="7:7" x14ac:dyDescent="0.3">
      <c r="G272" s="98"/>
    </row>
    <row r="273" spans="7:7" x14ac:dyDescent="0.3">
      <c r="G273" s="98"/>
    </row>
    <row r="274" spans="7:7" x14ac:dyDescent="0.3">
      <c r="G274" s="98"/>
    </row>
    <row r="275" spans="7:7" x14ac:dyDescent="0.3">
      <c r="G275" s="98"/>
    </row>
    <row r="276" spans="7:7" x14ac:dyDescent="0.3">
      <c r="G276" s="98"/>
    </row>
    <row r="277" spans="7:7" x14ac:dyDescent="0.3">
      <c r="G277" s="98"/>
    </row>
    <row r="278" spans="7:7" x14ac:dyDescent="0.3">
      <c r="G278" s="98"/>
    </row>
    <row r="279" spans="7:7" x14ac:dyDescent="0.3">
      <c r="G279" s="98"/>
    </row>
    <row r="280" spans="7:7" x14ac:dyDescent="0.3">
      <c r="G280" s="98"/>
    </row>
    <row r="281" spans="7:7" x14ac:dyDescent="0.3">
      <c r="G281" s="98"/>
    </row>
    <row r="282" spans="7:7" x14ac:dyDescent="0.3">
      <c r="G282" s="98"/>
    </row>
    <row r="283" spans="7:7" x14ac:dyDescent="0.3">
      <c r="G283" s="98"/>
    </row>
    <row r="284" spans="7:7" x14ac:dyDescent="0.3">
      <c r="G284" s="98"/>
    </row>
    <row r="285" spans="7:7" x14ac:dyDescent="0.3">
      <c r="G285" s="98"/>
    </row>
    <row r="286" spans="7:7" x14ac:dyDescent="0.3">
      <c r="G286" s="98"/>
    </row>
    <row r="287" spans="7:7" x14ac:dyDescent="0.3">
      <c r="G287" s="98"/>
    </row>
    <row r="288" spans="7:7" x14ac:dyDescent="0.3">
      <c r="G288" s="98"/>
    </row>
    <row r="289" spans="7:7" x14ac:dyDescent="0.3">
      <c r="G289" s="98"/>
    </row>
    <row r="290" spans="7:7" x14ac:dyDescent="0.3">
      <c r="G290" s="98"/>
    </row>
    <row r="291" spans="7:7" x14ac:dyDescent="0.3">
      <c r="G291" s="98"/>
    </row>
    <row r="292" spans="7:7" x14ac:dyDescent="0.3">
      <c r="G292" s="98"/>
    </row>
    <row r="293" spans="7:7" x14ac:dyDescent="0.3">
      <c r="G293" s="98"/>
    </row>
    <row r="294" spans="7:7" x14ac:dyDescent="0.3">
      <c r="G294" s="98"/>
    </row>
    <row r="295" spans="7:7" x14ac:dyDescent="0.3">
      <c r="G295" s="98"/>
    </row>
    <row r="296" spans="7:7" x14ac:dyDescent="0.3">
      <c r="G296" s="98"/>
    </row>
    <row r="297" spans="7:7" x14ac:dyDescent="0.3">
      <c r="G297" s="98"/>
    </row>
    <row r="298" spans="7:7" x14ac:dyDescent="0.3">
      <c r="G298" s="98"/>
    </row>
    <row r="299" spans="7:7" x14ac:dyDescent="0.3">
      <c r="G299" s="98"/>
    </row>
    <row r="300" spans="7:7" x14ac:dyDescent="0.3">
      <c r="G300" s="98"/>
    </row>
    <row r="301" spans="7:7" x14ac:dyDescent="0.3">
      <c r="G301" s="98"/>
    </row>
    <row r="302" spans="7:7" x14ac:dyDescent="0.3">
      <c r="G302" s="98"/>
    </row>
    <row r="303" spans="7:7" x14ac:dyDescent="0.3">
      <c r="G303" s="98"/>
    </row>
    <row r="304" spans="7:7" x14ac:dyDescent="0.3">
      <c r="G304" s="98"/>
    </row>
    <row r="305" spans="7:7" x14ac:dyDescent="0.3">
      <c r="G305" s="98"/>
    </row>
    <row r="306" spans="7:7" x14ac:dyDescent="0.3">
      <c r="G306" s="98"/>
    </row>
    <row r="307" spans="7:7" x14ac:dyDescent="0.3">
      <c r="G307" s="98"/>
    </row>
    <row r="308" spans="7:7" x14ac:dyDescent="0.3">
      <c r="G308" s="98"/>
    </row>
    <row r="309" spans="7:7" x14ac:dyDescent="0.3">
      <c r="G309" s="98"/>
    </row>
    <row r="310" spans="7:7" x14ac:dyDescent="0.3">
      <c r="G310" s="98"/>
    </row>
    <row r="311" spans="7:7" x14ac:dyDescent="0.3">
      <c r="G311" s="98"/>
    </row>
    <row r="312" spans="7:7" x14ac:dyDescent="0.3">
      <c r="G312" s="98"/>
    </row>
    <row r="313" spans="7:7" x14ac:dyDescent="0.3">
      <c r="G313" s="98"/>
    </row>
    <row r="314" spans="7:7" x14ac:dyDescent="0.3">
      <c r="G314" s="98"/>
    </row>
    <row r="315" spans="7:7" x14ac:dyDescent="0.3">
      <c r="G315" s="98"/>
    </row>
    <row r="316" spans="7:7" x14ac:dyDescent="0.3">
      <c r="G316" s="98"/>
    </row>
    <row r="317" spans="7:7" x14ac:dyDescent="0.3">
      <c r="G317" s="98"/>
    </row>
    <row r="318" spans="7:7" x14ac:dyDescent="0.3">
      <c r="G318" s="98"/>
    </row>
    <row r="319" spans="7:7" x14ac:dyDescent="0.3">
      <c r="G319" s="98"/>
    </row>
    <row r="320" spans="7:7" x14ac:dyDescent="0.3">
      <c r="G320" s="98"/>
    </row>
    <row r="321" spans="7:7" x14ac:dyDescent="0.3">
      <c r="G321" s="98"/>
    </row>
    <row r="322" spans="7:7" x14ac:dyDescent="0.3">
      <c r="G322" s="98"/>
    </row>
    <row r="323" spans="7:7" x14ac:dyDescent="0.3">
      <c r="G323" s="98"/>
    </row>
    <row r="324" spans="7:7" x14ac:dyDescent="0.3">
      <c r="G324" s="98"/>
    </row>
    <row r="325" spans="7:7" x14ac:dyDescent="0.3">
      <c r="G325" s="98"/>
    </row>
    <row r="326" spans="7:7" x14ac:dyDescent="0.3">
      <c r="G326" s="98"/>
    </row>
    <row r="327" spans="7:7" x14ac:dyDescent="0.3">
      <c r="G327" s="98"/>
    </row>
    <row r="328" spans="7:7" x14ac:dyDescent="0.3">
      <c r="G328" s="98"/>
    </row>
    <row r="329" spans="7:7" x14ac:dyDescent="0.3">
      <c r="G329" s="98"/>
    </row>
    <row r="330" spans="7:7" x14ac:dyDescent="0.3">
      <c r="G330" s="98"/>
    </row>
    <row r="331" spans="7:7" x14ac:dyDescent="0.3">
      <c r="G331" s="98"/>
    </row>
    <row r="332" spans="7:7" x14ac:dyDescent="0.3">
      <c r="G332" s="98"/>
    </row>
    <row r="333" spans="7:7" x14ac:dyDescent="0.3">
      <c r="G333" s="98"/>
    </row>
    <row r="334" spans="7:7" x14ac:dyDescent="0.3">
      <c r="G334" s="98"/>
    </row>
    <row r="335" spans="7:7" x14ac:dyDescent="0.3">
      <c r="G335" s="98"/>
    </row>
    <row r="336" spans="7:7" x14ac:dyDescent="0.3">
      <c r="G336" s="98"/>
    </row>
    <row r="337" spans="7:7" x14ac:dyDescent="0.3">
      <c r="G337" s="98"/>
    </row>
    <row r="338" spans="7:7" x14ac:dyDescent="0.3">
      <c r="G338" s="98"/>
    </row>
    <row r="339" spans="7:7" x14ac:dyDescent="0.3">
      <c r="G339" s="98"/>
    </row>
    <row r="340" spans="7:7" x14ac:dyDescent="0.3">
      <c r="G340" s="98"/>
    </row>
    <row r="341" spans="7:7" x14ac:dyDescent="0.3">
      <c r="G341" s="98"/>
    </row>
    <row r="342" spans="7:7" x14ac:dyDescent="0.3">
      <c r="G342" s="98"/>
    </row>
    <row r="343" spans="7:7" x14ac:dyDescent="0.3">
      <c r="G343" s="98"/>
    </row>
    <row r="344" spans="7:7" x14ac:dyDescent="0.3">
      <c r="G344" s="98"/>
    </row>
    <row r="345" spans="7:7" x14ac:dyDescent="0.3">
      <c r="G345" s="98"/>
    </row>
    <row r="346" spans="7:7" x14ac:dyDescent="0.3">
      <c r="G346" s="98"/>
    </row>
    <row r="347" spans="7:7" x14ac:dyDescent="0.3">
      <c r="G347" s="98"/>
    </row>
    <row r="348" spans="7:7" x14ac:dyDescent="0.3">
      <c r="G348" s="98"/>
    </row>
    <row r="349" spans="7:7" x14ac:dyDescent="0.3">
      <c r="G349" s="98"/>
    </row>
    <row r="350" spans="7:7" x14ac:dyDescent="0.3">
      <c r="G350" s="98"/>
    </row>
    <row r="351" spans="7:7" x14ac:dyDescent="0.3">
      <c r="G351" s="98"/>
    </row>
    <row r="352" spans="7:7" x14ac:dyDescent="0.3">
      <c r="G352" s="98"/>
    </row>
    <row r="353" spans="7:7" x14ac:dyDescent="0.3">
      <c r="G353" s="98"/>
    </row>
    <row r="354" spans="7:7" x14ac:dyDescent="0.3">
      <c r="G354" s="98"/>
    </row>
    <row r="355" spans="7:7" x14ac:dyDescent="0.3">
      <c r="G355" s="98"/>
    </row>
    <row r="356" spans="7:7" x14ac:dyDescent="0.3">
      <c r="G356" s="98"/>
    </row>
    <row r="357" spans="7:7" x14ac:dyDescent="0.3">
      <c r="G357" s="98"/>
    </row>
    <row r="358" spans="7:7" x14ac:dyDescent="0.3">
      <c r="G358" s="98"/>
    </row>
    <row r="359" spans="7:7" x14ac:dyDescent="0.3">
      <c r="G359" s="98"/>
    </row>
    <row r="360" spans="7:7" x14ac:dyDescent="0.3">
      <c r="G360" s="98"/>
    </row>
    <row r="361" spans="7:7" x14ac:dyDescent="0.3">
      <c r="G361" s="98"/>
    </row>
    <row r="362" spans="7:7" x14ac:dyDescent="0.3">
      <c r="G362" s="98"/>
    </row>
    <row r="363" spans="7:7" x14ac:dyDescent="0.3">
      <c r="G363" s="98"/>
    </row>
    <row r="364" spans="7:7" x14ac:dyDescent="0.3">
      <c r="G364" s="98"/>
    </row>
    <row r="365" spans="7:7" x14ac:dyDescent="0.3">
      <c r="G365" s="98"/>
    </row>
    <row r="366" spans="7:7" x14ac:dyDescent="0.3">
      <c r="G366" s="98"/>
    </row>
    <row r="367" spans="7:7" x14ac:dyDescent="0.3">
      <c r="G367" s="98"/>
    </row>
    <row r="368" spans="7:7" x14ac:dyDescent="0.3">
      <c r="G368" s="98"/>
    </row>
    <row r="369" spans="7:7" x14ac:dyDescent="0.3">
      <c r="G369" s="98"/>
    </row>
    <row r="370" spans="7:7" x14ac:dyDescent="0.3">
      <c r="G370" s="98"/>
    </row>
    <row r="371" spans="7:7" x14ac:dyDescent="0.3">
      <c r="G371" s="98"/>
    </row>
    <row r="372" spans="7:7" x14ac:dyDescent="0.3">
      <c r="G372" s="98"/>
    </row>
    <row r="373" spans="7:7" x14ac:dyDescent="0.3">
      <c r="G373" s="98"/>
    </row>
    <row r="374" spans="7:7" x14ac:dyDescent="0.3">
      <c r="G374" s="98"/>
    </row>
    <row r="375" spans="7:7" x14ac:dyDescent="0.3">
      <c r="G375" s="98"/>
    </row>
    <row r="376" spans="7:7" x14ac:dyDescent="0.3">
      <c r="G376" s="98"/>
    </row>
    <row r="377" spans="7:7" x14ac:dyDescent="0.3">
      <c r="G377" s="98"/>
    </row>
    <row r="378" spans="7:7" x14ac:dyDescent="0.3">
      <c r="G378" s="98"/>
    </row>
    <row r="379" spans="7:7" x14ac:dyDescent="0.3">
      <c r="G379" s="98"/>
    </row>
    <row r="380" spans="7:7" x14ac:dyDescent="0.3">
      <c r="G380" s="98"/>
    </row>
    <row r="381" spans="7:7" x14ac:dyDescent="0.3">
      <c r="G381" s="98"/>
    </row>
    <row r="382" spans="7:7" x14ac:dyDescent="0.3">
      <c r="G382" s="98"/>
    </row>
    <row r="383" spans="7:7" x14ac:dyDescent="0.3">
      <c r="G383" s="98"/>
    </row>
    <row r="384" spans="7:7" x14ac:dyDescent="0.3">
      <c r="G384" s="98"/>
    </row>
    <row r="385" spans="7:7" x14ac:dyDescent="0.3">
      <c r="G385" s="98"/>
    </row>
    <row r="386" spans="7:7" x14ac:dyDescent="0.3">
      <c r="G386" s="98"/>
    </row>
    <row r="387" spans="7:7" x14ac:dyDescent="0.3">
      <c r="G387" s="98"/>
    </row>
    <row r="388" spans="7:7" x14ac:dyDescent="0.3">
      <c r="G388" s="98"/>
    </row>
    <row r="389" spans="7:7" x14ac:dyDescent="0.3">
      <c r="G389" s="98"/>
    </row>
    <row r="390" spans="7:7" x14ac:dyDescent="0.3">
      <c r="G390" s="98"/>
    </row>
    <row r="391" spans="7:7" x14ac:dyDescent="0.3">
      <c r="G391" s="98"/>
    </row>
    <row r="392" spans="7:7" x14ac:dyDescent="0.3">
      <c r="G392" s="98"/>
    </row>
    <row r="393" spans="7:7" x14ac:dyDescent="0.3">
      <c r="G393" s="98"/>
    </row>
    <row r="394" spans="7:7" x14ac:dyDescent="0.3">
      <c r="G394" s="98"/>
    </row>
    <row r="395" spans="7:7" x14ac:dyDescent="0.3">
      <c r="G395" s="98"/>
    </row>
    <row r="396" spans="7:7" x14ac:dyDescent="0.3">
      <c r="G396" s="98"/>
    </row>
    <row r="397" spans="7:7" x14ac:dyDescent="0.3">
      <c r="G397" s="98"/>
    </row>
    <row r="398" spans="7:7" x14ac:dyDescent="0.3">
      <c r="G398" s="98"/>
    </row>
    <row r="399" spans="7:7" x14ac:dyDescent="0.3">
      <c r="G399" s="98"/>
    </row>
    <row r="400" spans="7:7" x14ac:dyDescent="0.3">
      <c r="G400" s="98"/>
    </row>
    <row r="401" spans="7:7" x14ac:dyDescent="0.3">
      <c r="G401" s="98"/>
    </row>
    <row r="402" spans="7:7" x14ac:dyDescent="0.3">
      <c r="G402" s="98"/>
    </row>
    <row r="403" spans="7:7" x14ac:dyDescent="0.3">
      <c r="G403" s="98"/>
    </row>
    <row r="404" spans="7:7" x14ac:dyDescent="0.3">
      <c r="G404" s="98"/>
    </row>
    <row r="405" spans="7:7" x14ac:dyDescent="0.3">
      <c r="G405" s="98"/>
    </row>
    <row r="406" spans="7:7" x14ac:dyDescent="0.3">
      <c r="G406" s="98"/>
    </row>
    <row r="407" spans="7:7" x14ac:dyDescent="0.3">
      <c r="G407" s="98"/>
    </row>
    <row r="408" spans="7:7" x14ac:dyDescent="0.3">
      <c r="G408" s="98"/>
    </row>
    <row r="409" spans="7:7" x14ac:dyDescent="0.3">
      <c r="G409" s="98"/>
    </row>
    <row r="410" spans="7:7" x14ac:dyDescent="0.3">
      <c r="G410" s="98"/>
    </row>
    <row r="411" spans="7:7" x14ac:dyDescent="0.3">
      <c r="G411" s="98"/>
    </row>
    <row r="412" spans="7:7" x14ac:dyDescent="0.3">
      <c r="G412" s="98"/>
    </row>
    <row r="413" spans="7:7" x14ac:dyDescent="0.3">
      <c r="G413" s="98"/>
    </row>
    <row r="414" spans="7:7" x14ac:dyDescent="0.3">
      <c r="G414" s="98"/>
    </row>
    <row r="415" spans="7:7" x14ac:dyDescent="0.3">
      <c r="G415" s="98"/>
    </row>
    <row r="416" spans="7:7" x14ac:dyDescent="0.3">
      <c r="G416" s="98"/>
    </row>
    <row r="417" spans="7:7" x14ac:dyDescent="0.3">
      <c r="G417" s="98"/>
    </row>
    <row r="418" spans="7:7" x14ac:dyDescent="0.3">
      <c r="G418" s="98"/>
    </row>
    <row r="419" spans="7:7" x14ac:dyDescent="0.3">
      <c r="G419" s="98"/>
    </row>
    <row r="420" spans="7:7" x14ac:dyDescent="0.3">
      <c r="G420" s="98"/>
    </row>
    <row r="421" spans="7:7" x14ac:dyDescent="0.3">
      <c r="G421" s="98"/>
    </row>
    <row r="422" spans="7:7" x14ac:dyDescent="0.3">
      <c r="G422" s="98"/>
    </row>
    <row r="423" spans="7:7" x14ac:dyDescent="0.3">
      <c r="G423" s="98"/>
    </row>
    <row r="424" spans="7:7" x14ac:dyDescent="0.3">
      <c r="G424" s="98"/>
    </row>
    <row r="425" spans="7:7" x14ac:dyDescent="0.3">
      <c r="G425" s="98"/>
    </row>
    <row r="426" spans="7:7" x14ac:dyDescent="0.3">
      <c r="G426" s="98"/>
    </row>
    <row r="427" spans="7:7" x14ac:dyDescent="0.3">
      <c r="G427" s="98"/>
    </row>
    <row r="428" spans="7:7" x14ac:dyDescent="0.3">
      <c r="G428" s="98"/>
    </row>
    <row r="429" spans="7:7" x14ac:dyDescent="0.3">
      <c r="G429" s="98"/>
    </row>
    <row r="430" spans="7:7" x14ac:dyDescent="0.3">
      <c r="G430" s="98"/>
    </row>
    <row r="431" spans="7:7" x14ac:dyDescent="0.3">
      <c r="G431" s="98"/>
    </row>
    <row r="432" spans="7:7" x14ac:dyDescent="0.3">
      <c r="G432" s="98"/>
    </row>
    <row r="433" spans="7:7" x14ac:dyDescent="0.3">
      <c r="G433" s="98"/>
    </row>
    <row r="434" spans="7:7" x14ac:dyDescent="0.3">
      <c r="G434" s="98"/>
    </row>
    <row r="435" spans="7:7" x14ac:dyDescent="0.3">
      <c r="G435" s="98"/>
    </row>
    <row r="436" spans="7:7" x14ac:dyDescent="0.3">
      <c r="G436" s="98"/>
    </row>
    <row r="437" spans="7:7" x14ac:dyDescent="0.3">
      <c r="G437" s="98"/>
    </row>
    <row r="438" spans="7:7" x14ac:dyDescent="0.3">
      <c r="G438" s="98"/>
    </row>
    <row r="439" spans="7:7" x14ac:dyDescent="0.3">
      <c r="G439" s="98"/>
    </row>
    <row r="440" spans="7:7" x14ac:dyDescent="0.3">
      <c r="G440" s="98"/>
    </row>
    <row r="441" spans="7:7" x14ac:dyDescent="0.3">
      <c r="G441" s="98"/>
    </row>
    <row r="442" spans="7:7" x14ac:dyDescent="0.3">
      <c r="G442" s="98"/>
    </row>
    <row r="443" spans="7:7" x14ac:dyDescent="0.3">
      <c r="G443" s="98"/>
    </row>
    <row r="444" spans="7:7" x14ac:dyDescent="0.3">
      <c r="G444" s="98"/>
    </row>
    <row r="445" spans="7:7" x14ac:dyDescent="0.3">
      <c r="G445" s="98"/>
    </row>
    <row r="446" spans="7:7" x14ac:dyDescent="0.3">
      <c r="G446" s="98"/>
    </row>
    <row r="447" spans="7:7" x14ac:dyDescent="0.3">
      <c r="G447" s="98"/>
    </row>
    <row r="448" spans="7:7" x14ac:dyDescent="0.3">
      <c r="G448" s="98"/>
    </row>
    <row r="449" spans="7:7" x14ac:dyDescent="0.3">
      <c r="G449" s="98"/>
    </row>
    <row r="450" spans="7:7" x14ac:dyDescent="0.3">
      <c r="G450" s="98"/>
    </row>
    <row r="451" spans="7:7" x14ac:dyDescent="0.3">
      <c r="G451" s="98"/>
    </row>
    <row r="452" spans="7:7" x14ac:dyDescent="0.3">
      <c r="G452" s="98"/>
    </row>
    <row r="453" spans="7:7" x14ac:dyDescent="0.3">
      <c r="G453" s="98"/>
    </row>
    <row r="454" spans="7:7" x14ac:dyDescent="0.3">
      <c r="G454" s="98"/>
    </row>
    <row r="455" spans="7:7" x14ac:dyDescent="0.3">
      <c r="G455" s="98"/>
    </row>
    <row r="456" spans="7:7" x14ac:dyDescent="0.3">
      <c r="G456" s="98"/>
    </row>
    <row r="457" spans="7:7" x14ac:dyDescent="0.3">
      <c r="G457" s="98"/>
    </row>
    <row r="458" spans="7:7" x14ac:dyDescent="0.3">
      <c r="G458" s="98"/>
    </row>
    <row r="459" spans="7:7" x14ac:dyDescent="0.3">
      <c r="G459" s="98"/>
    </row>
    <row r="460" spans="7:7" x14ac:dyDescent="0.3">
      <c r="G460" s="98"/>
    </row>
    <row r="461" spans="7:7" x14ac:dyDescent="0.3">
      <c r="G461" s="98"/>
    </row>
    <row r="462" spans="7:7" x14ac:dyDescent="0.3">
      <c r="G462" s="98"/>
    </row>
    <row r="463" spans="7:7" x14ac:dyDescent="0.3">
      <c r="G463" s="98"/>
    </row>
    <row r="464" spans="7:7" x14ac:dyDescent="0.3">
      <c r="G464" s="98"/>
    </row>
    <row r="465" spans="7:7" x14ac:dyDescent="0.3">
      <c r="G465" s="98"/>
    </row>
    <row r="466" spans="7:7" x14ac:dyDescent="0.3">
      <c r="G466" s="98"/>
    </row>
    <row r="467" spans="7:7" x14ac:dyDescent="0.3">
      <c r="G467" s="98"/>
    </row>
    <row r="468" spans="7:7" x14ac:dyDescent="0.3">
      <c r="G468" s="98"/>
    </row>
    <row r="469" spans="7:7" x14ac:dyDescent="0.3">
      <c r="G469" s="98"/>
    </row>
    <row r="470" spans="7:7" x14ac:dyDescent="0.3">
      <c r="G470" s="98"/>
    </row>
    <row r="471" spans="7:7" x14ac:dyDescent="0.3">
      <c r="G471" s="98"/>
    </row>
    <row r="472" spans="7:7" x14ac:dyDescent="0.3">
      <c r="G472" s="98"/>
    </row>
    <row r="473" spans="7:7" x14ac:dyDescent="0.3">
      <c r="G473" s="98"/>
    </row>
    <row r="474" spans="7:7" x14ac:dyDescent="0.3">
      <c r="G474" s="98"/>
    </row>
    <row r="475" spans="7:7" x14ac:dyDescent="0.3">
      <c r="G475" s="98"/>
    </row>
    <row r="476" spans="7:7" x14ac:dyDescent="0.3">
      <c r="G476" s="98"/>
    </row>
    <row r="477" spans="7:7" x14ac:dyDescent="0.3">
      <c r="G477" s="98"/>
    </row>
    <row r="478" spans="7:7" x14ac:dyDescent="0.3">
      <c r="G478" s="98"/>
    </row>
    <row r="479" spans="7:7" x14ac:dyDescent="0.3">
      <c r="G479" s="98"/>
    </row>
    <row r="480" spans="7:7" x14ac:dyDescent="0.3">
      <c r="G480" s="98"/>
    </row>
    <row r="481" spans="7:7" x14ac:dyDescent="0.3">
      <c r="G481" s="98"/>
    </row>
    <row r="482" spans="7:7" x14ac:dyDescent="0.3">
      <c r="G482" s="98"/>
    </row>
    <row r="483" spans="7:7" x14ac:dyDescent="0.3">
      <c r="G483" s="98"/>
    </row>
    <row r="484" spans="7:7" x14ac:dyDescent="0.3">
      <c r="G484" s="98"/>
    </row>
    <row r="485" spans="7:7" x14ac:dyDescent="0.3">
      <c r="G485" s="98"/>
    </row>
    <row r="486" spans="7:7" x14ac:dyDescent="0.3">
      <c r="G486" s="98"/>
    </row>
    <row r="487" spans="7:7" x14ac:dyDescent="0.3">
      <c r="G487" s="98"/>
    </row>
    <row r="488" spans="7:7" x14ac:dyDescent="0.3">
      <c r="G488" s="98"/>
    </row>
    <row r="489" spans="7:7" x14ac:dyDescent="0.3">
      <c r="G489" s="98"/>
    </row>
    <row r="490" spans="7:7" x14ac:dyDescent="0.3">
      <c r="G490" s="98"/>
    </row>
    <row r="491" spans="7:7" x14ac:dyDescent="0.3">
      <c r="G491" s="98"/>
    </row>
    <row r="492" spans="7:7" x14ac:dyDescent="0.3">
      <c r="G492" s="98"/>
    </row>
    <row r="493" spans="7:7" x14ac:dyDescent="0.3">
      <c r="G493" s="98"/>
    </row>
    <row r="494" spans="7:7" x14ac:dyDescent="0.3">
      <c r="G494" s="98"/>
    </row>
    <row r="495" spans="7:7" x14ac:dyDescent="0.3">
      <c r="G495" s="98"/>
    </row>
    <row r="496" spans="7:7" x14ac:dyDescent="0.3">
      <c r="G496" s="98"/>
    </row>
    <row r="497" spans="7:7" x14ac:dyDescent="0.3">
      <c r="G497" s="98"/>
    </row>
    <row r="498" spans="7:7" x14ac:dyDescent="0.3">
      <c r="G498" s="98"/>
    </row>
    <row r="499" spans="7:7" x14ac:dyDescent="0.3">
      <c r="G499" s="98"/>
    </row>
    <row r="500" spans="7:7" x14ac:dyDescent="0.3">
      <c r="G500" s="98"/>
    </row>
    <row r="501" spans="7:7" x14ac:dyDescent="0.3">
      <c r="G501" s="98"/>
    </row>
    <row r="502" spans="7:7" x14ac:dyDescent="0.3">
      <c r="G502" s="98"/>
    </row>
    <row r="503" spans="7:7" x14ac:dyDescent="0.3">
      <c r="G503" s="98"/>
    </row>
    <row r="504" spans="7:7" x14ac:dyDescent="0.3">
      <c r="G504" s="98"/>
    </row>
    <row r="505" spans="7:7" x14ac:dyDescent="0.3">
      <c r="G505" s="98"/>
    </row>
    <row r="506" spans="7:7" x14ac:dyDescent="0.3">
      <c r="G506" s="98"/>
    </row>
    <row r="507" spans="7:7" x14ac:dyDescent="0.3">
      <c r="G507" s="98"/>
    </row>
    <row r="508" spans="7:7" x14ac:dyDescent="0.3">
      <c r="G508" s="98"/>
    </row>
    <row r="509" spans="7:7" x14ac:dyDescent="0.3">
      <c r="G509" s="98"/>
    </row>
    <row r="510" spans="7:7" x14ac:dyDescent="0.3">
      <c r="G510" s="98"/>
    </row>
    <row r="511" spans="7:7" x14ac:dyDescent="0.3">
      <c r="G511" s="98"/>
    </row>
    <row r="512" spans="7:7" x14ac:dyDescent="0.3">
      <c r="G512" s="98"/>
    </row>
    <row r="513" spans="7:7" x14ac:dyDescent="0.3">
      <c r="G513" s="98"/>
    </row>
    <row r="514" spans="7:7" x14ac:dyDescent="0.3">
      <c r="G514" s="98"/>
    </row>
    <row r="515" spans="7:7" x14ac:dyDescent="0.3">
      <c r="G515" s="98"/>
    </row>
    <row r="516" spans="7:7" x14ac:dyDescent="0.3">
      <c r="G516" s="98"/>
    </row>
    <row r="517" spans="7:7" x14ac:dyDescent="0.3">
      <c r="G517" s="98"/>
    </row>
    <row r="518" spans="7:7" x14ac:dyDescent="0.3">
      <c r="G518" s="98"/>
    </row>
    <row r="519" spans="7:7" x14ac:dyDescent="0.3">
      <c r="G519" s="98"/>
    </row>
    <row r="520" spans="7:7" x14ac:dyDescent="0.3">
      <c r="G520" s="98"/>
    </row>
    <row r="521" spans="7:7" x14ac:dyDescent="0.3">
      <c r="G521" s="98"/>
    </row>
    <row r="522" spans="7:7" x14ac:dyDescent="0.3">
      <c r="G522" s="98"/>
    </row>
    <row r="523" spans="7:7" x14ac:dyDescent="0.3">
      <c r="G523" s="98"/>
    </row>
    <row r="524" spans="7:7" x14ac:dyDescent="0.3">
      <c r="G524" s="98"/>
    </row>
    <row r="525" spans="7:7" x14ac:dyDescent="0.3">
      <c r="G525" s="98"/>
    </row>
    <row r="526" spans="7:7" x14ac:dyDescent="0.3">
      <c r="G526" s="98"/>
    </row>
    <row r="527" spans="7:7" x14ac:dyDescent="0.3">
      <c r="G527" s="98"/>
    </row>
    <row r="528" spans="7:7" x14ac:dyDescent="0.3">
      <c r="G528" s="98"/>
    </row>
    <row r="529" spans="7:7" x14ac:dyDescent="0.3">
      <c r="G529" s="98"/>
    </row>
    <row r="530" spans="7:7" x14ac:dyDescent="0.3">
      <c r="G530" s="98"/>
    </row>
    <row r="531" spans="7:7" x14ac:dyDescent="0.3">
      <c r="G531" s="98"/>
    </row>
    <row r="532" spans="7:7" x14ac:dyDescent="0.3">
      <c r="G532" s="98"/>
    </row>
    <row r="533" spans="7:7" x14ac:dyDescent="0.3">
      <c r="G533" s="98"/>
    </row>
    <row r="534" spans="7:7" x14ac:dyDescent="0.3">
      <c r="G534" s="98"/>
    </row>
    <row r="535" spans="7:7" x14ac:dyDescent="0.3">
      <c r="G535" s="98"/>
    </row>
    <row r="536" spans="7:7" x14ac:dyDescent="0.3">
      <c r="G536" s="98"/>
    </row>
    <row r="537" spans="7:7" x14ac:dyDescent="0.3">
      <c r="G537" s="98"/>
    </row>
    <row r="538" spans="7:7" x14ac:dyDescent="0.3">
      <c r="G538" s="98"/>
    </row>
    <row r="539" spans="7:7" x14ac:dyDescent="0.3">
      <c r="G539" s="98"/>
    </row>
    <row r="540" spans="7:7" x14ac:dyDescent="0.3">
      <c r="G540" s="98"/>
    </row>
    <row r="541" spans="7:7" x14ac:dyDescent="0.3">
      <c r="G541" s="98"/>
    </row>
    <row r="542" spans="7:7" x14ac:dyDescent="0.3">
      <c r="G542" s="98"/>
    </row>
    <row r="543" spans="7:7" x14ac:dyDescent="0.3">
      <c r="G543" s="98"/>
    </row>
    <row r="544" spans="7:7" x14ac:dyDescent="0.3">
      <c r="G544" s="98"/>
    </row>
    <row r="545" spans="7:7" x14ac:dyDescent="0.3">
      <c r="G545" s="98"/>
    </row>
    <row r="546" spans="7:7" x14ac:dyDescent="0.3">
      <c r="G546" s="98"/>
    </row>
    <row r="547" spans="7:7" x14ac:dyDescent="0.3">
      <c r="G547" s="98"/>
    </row>
    <row r="548" spans="7:7" x14ac:dyDescent="0.3">
      <c r="G548" s="98"/>
    </row>
    <row r="549" spans="7:7" x14ac:dyDescent="0.3">
      <c r="G549" s="98"/>
    </row>
    <row r="550" spans="7:7" x14ac:dyDescent="0.3">
      <c r="G550" s="98"/>
    </row>
    <row r="551" spans="7:7" x14ac:dyDescent="0.3">
      <c r="G551" s="98"/>
    </row>
    <row r="552" spans="7:7" x14ac:dyDescent="0.3">
      <c r="G552" s="98"/>
    </row>
    <row r="553" spans="7:7" x14ac:dyDescent="0.3">
      <c r="G553" s="98"/>
    </row>
    <row r="554" spans="7:7" x14ac:dyDescent="0.3">
      <c r="G554" s="98"/>
    </row>
    <row r="555" spans="7:7" x14ac:dyDescent="0.3">
      <c r="G555" s="98"/>
    </row>
    <row r="556" spans="7:7" x14ac:dyDescent="0.3">
      <c r="G556" s="98"/>
    </row>
    <row r="557" spans="7:7" x14ac:dyDescent="0.3">
      <c r="G557" s="98"/>
    </row>
    <row r="558" spans="7:7" x14ac:dyDescent="0.3">
      <c r="G558" s="98"/>
    </row>
    <row r="559" spans="7:7" x14ac:dyDescent="0.3">
      <c r="G559" s="98"/>
    </row>
    <row r="560" spans="7:7" x14ac:dyDescent="0.3">
      <c r="G560" s="98"/>
    </row>
    <row r="561" spans="7:7" x14ac:dyDescent="0.3">
      <c r="G561" s="98"/>
    </row>
    <row r="562" spans="7:7" x14ac:dyDescent="0.3">
      <c r="G562" s="98"/>
    </row>
    <row r="563" spans="7:7" x14ac:dyDescent="0.3">
      <c r="G563" s="98"/>
    </row>
    <row r="564" spans="7:7" x14ac:dyDescent="0.3">
      <c r="G564" s="98"/>
    </row>
    <row r="565" spans="7:7" x14ac:dyDescent="0.3">
      <c r="G565" s="98"/>
    </row>
    <row r="566" spans="7:7" x14ac:dyDescent="0.3">
      <c r="G566" s="98"/>
    </row>
    <row r="567" spans="7:7" x14ac:dyDescent="0.3">
      <c r="G567" s="98"/>
    </row>
    <row r="568" spans="7:7" x14ac:dyDescent="0.3">
      <c r="G568" s="98"/>
    </row>
    <row r="569" spans="7:7" x14ac:dyDescent="0.3">
      <c r="G569" s="98"/>
    </row>
    <row r="570" spans="7:7" x14ac:dyDescent="0.3">
      <c r="G570" s="98"/>
    </row>
    <row r="571" spans="7:7" x14ac:dyDescent="0.3">
      <c r="G571" s="98"/>
    </row>
    <row r="572" spans="7:7" x14ac:dyDescent="0.3">
      <c r="G572" s="98"/>
    </row>
    <row r="573" spans="7:7" x14ac:dyDescent="0.3">
      <c r="G573" s="98"/>
    </row>
    <row r="574" spans="7:7" x14ac:dyDescent="0.3">
      <c r="G574" s="98"/>
    </row>
    <row r="575" spans="7:7" x14ac:dyDescent="0.3">
      <c r="G575" s="98"/>
    </row>
    <row r="576" spans="7:7" x14ac:dyDescent="0.3">
      <c r="G576" s="98"/>
    </row>
    <row r="577" spans="7:7" x14ac:dyDescent="0.3">
      <c r="G577" s="98"/>
    </row>
    <row r="578" spans="7:7" x14ac:dyDescent="0.3">
      <c r="G578" s="98"/>
    </row>
    <row r="579" spans="7:7" x14ac:dyDescent="0.3">
      <c r="G579" s="98"/>
    </row>
    <row r="580" spans="7:7" x14ac:dyDescent="0.3">
      <c r="G580" s="98"/>
    </row>
    <row r="581" spans="7:7" x14ac:dyDescent="0.3">
      <c r="G581" s="98"/>
    </row>
    <row r="582" spans="7:7" x14ac:dyDescent="0.3">
      <c r="G582" s="98"/>
    </row>
    <row r="583" spans="7:7" x14ac:dyDescent="0.3">
      <c r="G583" s="98"/>
    </row>
    <row r="584" spans="7:7" x14ac:dyDescent="0.3">
      <c r="G584" s="98"/>
    </row>
    <row r="585" spans="7:7" x14ac:dyDescent="0.3">
      <c r="G585" s="98"/>
    </row>
    <row r="586" spans="7:7" x14ac:dyDescent="0.3">
      <c r="G586" s="98"/>
    </row>
    <row r="587" spans="7:7" x14ac:dyDescent="0.3">
      <c r="G587" s="98"/>
    </row>
    <row r="588" spans="7:7" x14ac:dyDescent="0.3">
      <c r="G588" s="98"/>
    </row>
    <row r="589" spans="7:7" x14ac:dyDescent="0.3">
      <c r="G589" s="98"/>
    </row>
    <row r="590" spans="7:7" x14ac:dyDescent="0.3">
      <c r="G590" s="98"/>
    </row>
    <row r="591" spans="7:7" x14ac:dyDescent="0.3">
      <c r="G591" s="98"/>
    </row>
    <row r="592" spans="7:7" x14ac:dyDescent="0.3">
      <c r="G592" s="98"/>
    </row>
    <row r="593" spans="7:7" x14ac:dyDescent="0.3">
      <c r="G593" s="98"/>
    </row>
    <row r="594" spans="7:7" x14ac:dyDescent="0.3">
      <c r="G594" s="98"/>
    </row>
    <row r="595" spans="7:7" x14ac:dyDescent="0.3">
      <c r="G595" s="98"/>
    </row>
    <row r="596" spans="7:7" x14ac:dyDescent="0.3">
      <c r="G596" s="98"/>
    </row>
    <row r="597" spans="7:7" x14ac:dyDescent="0.3">
      <c r="G597" s="98"/>
    </row>
    <row r="598" spans="7:7" x14ac:dyDescent="0.3">
      <c r="G598" s="98"/>
    </row>
    <row r="599" spans="7:7" x14ac:dyDescent="0.3">
      <c r="G599" s="98"/>
    </row>
    <row r="600" spans="7:7" x14ac:dyDescent="0.3">
      <c r="G600" s="98"/>
    </row>
    <row r="601" spans="7:7" x14ac:dyDescent="0.3">
      <c r="G601" s="98"/>
    </row>
    <row r="602" spans="7:7" x14ac:dyDescent="0.3">
      <c r="G602" s="98"/>
    </row>
    <row r="603" spans="7:7" x14ac:dyDescent="0.3">
      <c r="G603" s="98"/>
    </row>
    <row r="604" spans="7:7" x14ac:dyDescent="0.3">
      <c r="G604" s="98"/>
    </row>
    <row r="605" spans="7:7" x14ac:dyDescent="0.3">
      <c r="G605" s="98"/>
    </row>
    <row r="606" spans="7:7" x14ac:dyDescent="0.3">
      <c r="G606" s="98"/>
    </row>
    <row r="607" spans="7:7" x14ac:dyDescent="0.3">
      <c r="G607" s="98"/>
    </row>
    <row r="608" spans="7:7" x14ac:dyDescent="0.3">
      <c r="G608" s="98"/>
    </row>
    <row r="609" spans="7:7" x14ac:dyDescent="0.3">
      <c r="G609" s="98"/>
    </row>
    <row r="610" spans="7:7" x14ac:dyDescent="0.3">
      <c r="G610" s="98"/>
    </row>
    <row r="611" spans="7:7" x14ac:dyDescent="0.3">
      <c r="G611" s="98"/>
    </row>
    <row r="612" spans="7:7" x14ac:dyDescent="0.3">
      <c r="G612" s="98"/>
    </row>
    <row r="613" spans="7:7" x14ac:dyDescent="0.3">
      <c r="G613" s="98"/>
    </row>
    <row r="614" spans="7:7" x14ac:dyDescent="0.3">
      <c r="G614" s="98"/>
    </row>
    <row r="615" spans="7:7" x14ac:dyDescent="0.3">
      <c r="G615" s="98"/>
    </row>
    <row r="616" spans="7:7" x14ac:dyDescent="0.3">
      <c r="G616" s="98"/>
    </row>
    <row r="617" spans="7:7" x14ac:dyDescent="0.3">
      <c r="G617" s="98"/>
    </row>
    <row r="618" spans="7:7" x14ac:dyDescent="0.3">
      <c r="G618" s="98"/>
    </row>
    <row r="619" spans="7:7" x14ac:dyDescent="0.3">
      <c r="G619" s="98"/>
    </row>
    <row r="620" spans="7:7" x14ac:dyDescent="0.3">
      <c r="G620" s="98"/>
    </row>
    <row r="621" spans="7:7" x14ac:dyDescent="0.3">
      <c r="G621" s="98"/>
    </row>
    <row r="622" spans="7:7" x14ac:dyDescent="0.3">
      <c r="G622" s="98"/>
    </row>
    <row r="623" spans="7:7" x14ac:dyDescent="0.3">
      <c r="G623" s="98"/>
    </row>
    <row r="624" spans="7:7" x14ac:dyDescent="0.3">
      <c r="G624" s="98"/>
    </row>
    <row r="625" spans="7:7" x14ac:dyDescent="0.3">
      <c r="G625" s="98"/>
    </row>
    <row r="626" spans="7:7" x14ac:dyDescent="0.3">
      <c r="G626" s="98"/>
    </row>
    <row r="627" spans="7:7" x14ac:dyDescent="0.3">
      <c r="G627" s="98"/>
    </row>
    <row r="628" spans="7:7" x14ac:dyDescent="0.3">
      <c r="G628" s="98"/>
    </row>
    <row r="629" spans="7:7" x14ac:dyDescent="0.3">
      <c r="G629" s="98"/>
    </row>
    <row r="630" spans="7:7" x14ac:dyDescent="0.3">
      <c r="G630" s="98"/>
    </row>
    <row r="631" spans="7:7" x14ac:dyDescent="0.3">
      <c r="G631" s="98"/>
    </row>
    <row r="632" spans="7:7" x14ac:dyDescent="0.3">
      <c r="G632" s="98"/>
    </row>
    <row r="633" spans="7:7" x14ac:dyDescent="0.3">
      <c r="G633" s="98"/>
    </row>
    <row r="634" spans="7:7" x14ac:dyDescent="0.3">
      <c r="G634" s="98"/>
    </row>
    <row r="635" spans="7:7" x14ac:dyDescent="0.3">
      <c r="G635" s="98"/>
    </row>
    <row r="636" spans="7:7" x14ac:dyDescent="0.3">
      <c r="G636" s="98"/>
    </row>
    <row r="637" spans="7:7" x14ac:dyDescent="0.3">
      <c r="G637" s="98"/>
    </row>
    <row r="638" spans="7:7" x14ac:dyDescent="0.3">
      <c r="G638" s="98"/>
    </row>
    <row r="639" spans="7:7" x14ac:dyDescent="0.3">
      <c r="G639" s="98"/>
    </row>
    <row r="640" spans="7:7" x14ac:dyDescent="0.3">
      <c r="G640" s="98"/>
    </row>
    <row r="641" spans="7:7" x14ac:dyDescent="0.3">
      <c r="G641" s="98"/>
    </row>
    <row r="642" spans="7:7" x14ac:dyDescent="0.3">
      <c r="G642" s="98"/>
    </row>
    <row r="643" spans="7:7" x14ac:dyDescent="0.3">
      <c r="G643" s="98"/>
    </row>
    <row r="644" spans="7:7" x14ac:dyDescent="0.3">
      <c r="G644" s="98"/>
    </row>
    <row r="645" spans="7:7" x14ac:dyDescent="0.3">
      <c r="G645" s="98"/>
    </row>
    <row r="646" spans="7:7" x14ac:dyDescent="0.3">
      <c r="G646" s="98"/>
    </row>
    <row r="647" spans="7:7" x14ac:dyDescent="0.3">
      <c r="G647" s="98"/>
    </row>
    <row r="648" spans="7:7" x14ac:dyDescent="0.3">
      <c r="G648" s="98"/>
    </row>
    <row r="649" spans="7:7" x14ac:dyDescent="0.3">
      <c r="G649" s="98"/>
    </row>
    <row r="650" spans="7:7" x14ac:dyDescent="0.3">
      <c r="G650" s="98"/>
    </row>
    <row r="651" spans="7:7" x14ac:dyDescent="0.3">
      <c r="G651" s="98"/>
    </row>
    <row r="652" spans="7:7" x14ac:dyDescent="0.3">
      <c r="G652" s="98"/>
    </row>
    <row r="653" spans="7:7" x14ac:dyDescent="0.3">
      <c r="G653" s="98"/>
    </row>
    <row r="654" spans="7:7" x14ac:dyDescent="0.3">
      <c r="G654" s="98"/>
    </row>
    <row r="655" spans="7:7" x14ac:dyDescent="0.3">
      <c r="G655" s="98"/>
    </row>
    <row r="656" spans="7:7" x14ac:dyDescent="0.3">
      <c r="G656" s="98"/>
    </row>
    <row r="657" spans="7:7" x14ac:dyDescent="0.3">
      <c r="G657" s="98"/>
    </row>
    <row r="658" spans="7:7" x14ac:dyDescent="0.3">
      <c r="G658" s="98"/>
    </row>
    <row r="659" spans="7:7" x14ac:dyDescent="0.3">
      <c r="G659" s="98"/>
    </row>
    <row r="660" spans="7:7" x14ac:dyDescent="0.3">
      <c r="G660" s="98"/>
    </row>
    <row r="661" spans="7:7" x14ac:dyDescent="0.3">
      <c r="G661" s="98"/>
    </row>
    <row r="662" spans="7:7" x14ac:dyDescent="0.3">
      <c r="G662" s="98"/>
    </row>
    <row r="663" spans="7:7" x14ac:dyDescent="0.3">
      <c r="G663" s="98"/>
    </row>
    <row r="664" spans="7:7" x14ac:dyDescent="0.3">
      <c r="G664" s="98"/>
    </row>
    <row r="665" spans="7:7" x14ac:dyDescent="0.3">
      <c r="G665" s="98"/>
    </row>
    <row r="666" spans="7:7" x14ac:dyDescent="0.3">
      <c r="G666" s="98"/>
    </row>
    <row r="667" spans="7:7" x14ac:dyDescent="0.3">
      <c r="G667" s="98"/>
    </row>
    <row r="668" spans="7:7" x14ac:dyDescent="0.3">
      <c r="G668" s="98"/>
    </row>
    <row r="669" spans="7:7" x14ac:dyDescent="0.3">
      <c r="G669" s="98"/>
    </row>
    <row r="670" spans="7:7" x14ac:dyDescent="0.3">
      <c r="G670" s="98"/>
    </row>
    <row r="671" spans="7:7" x14ac:dyDescent="0.3">
      <c r="G671" s="98"/>
    </row>
    <row r="672" spans="7:7" x14ac:dyDescent="0.3">
      <c r="G672" s="98"/>
    </row>
    <row r="673" spans="7:7" x14ac:dyDescent="0.3">
      <c r="G673" s="98"/>
    </row>
    <row r="674" spans="7:7" x14ac:dyDescent="0.3">
      <c r="G674" s="98"/>
    </row>
    <row r="675" spans="7:7" x14ac:dyDescent="0.3">
      <c r="G675" s="98"/>
    </row>
    <row r="676" spans="7:7" x14ac:dyDescent="0.3">
      <c r="G676" s="98"/>
    </row>
    <row r="677" spans="7:7" x14ac:dyDescent="0.3">
      <c r="G677" s="98"/>
    </row>
    <row r="678" spans="7:7" x14ac:dyDescent="0.3">
      <c r="G678" s="98"/>
    </row>
    <row r="679" spans="7:7" x14ac:dyDescent="0.3">
      <c r="G679" s="98"/>
    </row>
    <row r="680" spans="7:7" x14ac:dyDescent="0.3">
      <c r="G680" s="98"/>
    </row>
    <row r="681" spans="7:7" x14ac:dyDescent="0.3">
      <c r="G681" s="98"/>
    </row>
    <row r="682" spans="7:7" x14ac:dyDescent="0.3">
      <c r="G682" s="98"/>
    </row>
    <row r="683" spans="7:7" x14ac:dyDescent="0.3">
      <c r="G683" s="98"/>
    </row>
    <row r="684" spans="7:7" x14ac:dyDescent="0.3">
      <c r="G684" s="98"/>
    </row>
    <row r="685" spans="7:7" x14ac:dyDescent="0.3">
      <c r="G685" s="98"/>
    </row>
    <row r="686" spans="7:7" x14ac:dyDescent="0.3">
      <c r="G686" s="98"/>
    </row>
    <row r="687" spans="7:7" x14ac:dyDescent="0.3">
      <c r="G687" s="98"/>
    </row>
    <row r="688" spans="7:7" x14ac:dyDescent="0.3">
      <c r="G688" s="98"/>
    </row>
    <row r="689" spans="7:7" x14ac:dyDescent="0.3">
      <c r="G689" s="98"/>
    </row>
    <row r="690" spans="7:7" x14ac:dyDescent="0.3">
      <c r="G690" s="98"/>
    </row>
    <row r="691" spans="7:7" x14ac:dyDescent="0.3">
      <c r="G691" s="98"/>
    </row>
    <row r="692" spans="7:7" x14ac:dyDescent="0.3">
      <c r="G692" s="98"/>
    </row>
    <row r="693" spans="7:7" x14ac:dyDescent="0.3">
      <c r="G693" s="98"/>
    </row>
    <row r="694" spans="7:7" x14ac:dyDescent="0.3">
      <c r="G694" s="98"/>
    </row>
    <row r="695" spans="7:7" x14ac:dyDescent="0.3">
      <c r="G695" s="98"/>
    </row>
    <row r="696" spans="7:7" x14ac:dyDescent="0.3">
      <c r="G696" s="98"/>
    </row>
    <row r="697" spans="7:7" x14ac:dyDescent="0.3">
      <c r="G697" s="98"/>
    </row>
    <row r="698" spans="7:7" x14ac:dyDescent="0.3">
      <c r="G698" s="98"/>
    </row>
    <row r="699" spans="7:7" x14ac:dyDescent="0.3">
      <c r="G699" s="98"/>
    </row>
    <row r="700" spans="7:7" x14ac:dyDescent="0.3">
      <c r="G700" s="98"/>
    </row>
    <row r="701" spans="7:7" x14ac:dyDescent="0.3">
      <c r="G701" s="98"/>
    </row>
    <row r="702" spans="7:7" x14ac:dyDescent="0.3">
      <c r="G702" s="98"/>
    </row>
    <row r="703" spans="7:7" x14ac:dyDescent="0.3">
      <c r="G703" s="98"/>
    </row>
    <row r="704" spans="7:7" x14ac:dyDescent="0.3">
      <c r="G704" s="98"/>
    </row>
    <row r="705" spans="7:7" x14ac:dyDescent="0.3">
      <c r="G705" s="98"/>
    </row>
    <row r="706" spans="7:7" x14ac:dyDescent="0.3">
      <c r="G706" s="98"/>
    </row>
    <row r="707" spans="7:7" x14ac:dyDescent="0.3">
      <c r="G707" s="98"/>
    </row>
    <row r="708" spans="7:7" x14ac:dyDescent="0.3">
      <c r="G708" s="98"/>
    </row>
    <row r="709" spans="7:7" x14ac:dyDescent="0.3">
      <c r="G709" s="98"/>
    </row>
    <row r="710" spans="7:7" x14ac:dyDescent="0.3">
      <c r="G710" s="98"/>
    </row>
    <row r="711" spans="7:7" x14ac:dyDescent="0.3">
      <c r="G711" s="98"/>
    </row>
    <row r="712" spans="7:7" x14ac:dyDescent="0.3">
      <c r="G712" s="98"/>
    </row>
    <row r="713" spans="7:7" x14ac:dyDescent="0.3">
      <c r="G713" s="98"/>
    </row>
    <row r="714" spans="7:7" x14ac:dyDescent="0.3">
      <c r="G714" s="98"/>
    </row>
    <row r="715" spans="7:7" x14ac:dyDescent="0.3">
      <c r="G715" s="98"/>
    </row>
    <row r="716" spans="7:7" x14ac:dyDescent="0.3">
      <c r="G716" s="98"/>
    </row>
    <row r="717" spans="7:7" x14ac:dyDescent="0.3">
      <c r="G717" s="98"/>
    </row>
    <row r="718" spans="7:7" x14ac:dyDescent="0.3">
      <c r="G718" s="98"/>
    </row>
    <row r="719" spans="7:7" x14ac:dyDescent="0.3">
      <c r="G719" s="98"/>
    </row>
    <row r="720" spans="7:7" x14ac:dyDescent="0.3">
      <c r="G720" s="98"/>
    </row>
    <row r="721" spans="7:7" x14ac:dyDescent="0.3">
      <c r="G721" s="98"/>
    </row>
    <row r="722" spans="7:7" x14ac:dyDescent="0.3">
      <c r="G722" s="98"/>
    </row>
    <row r="723" spans="7:7" x14ac:dyDescent="0.3">
      <c r="G723" s="98"/>
    </row>
    <row r="724" spans="7:7" x14ac:dyDescent="0.3">
      <c r="G724" s="98"/>
    </row>
    <row r="725" spans="7:7" x14ac:dyDescent="0.3">
      <c r="G725" s="98"/>
    </row>
    <row r="726" spans="7:7" x14ac:dyDescent="0.3">
      <c r="G726" s="98"/>
    </row>
    <row r="727" spans="7:7" x14ac:dyDescent="0.3">
      <c r="G727" s="98"/>
    </row>
    <row r="728" spans="7:7" x14ac:dyDescent="0.3">
      <c r="G728" s="98"/>
    </row>
    <row r="729" spans="7:7" x14ac:dyDescent="0.3">
      <c r="G729" s="98"/>
    </row>
    <row r="730" spans="7:7" x14ac:dyDescent="0.3">
      <c r="G730" s="98"/>
    </row>
    <row r="731" spans="7:7" x14ac:dyDescent="0.3">
      <c r="G731" s="98"/>
    </row>
    <row r="732" spans="7:7" x14ac:dyDescent="0.3">
      <c r="G732" s="98"/>
    </row>
    <row r="733" spans="7:7" x14ac:dyDescent="0.3">
      <c r="G733" s="98"/>
    </row>
    <row r="734" spans="7:7" x14ac:dyDescent="0.3">
      <c r="G734" s="98"/>
    </row>
    <row r="735" spans="7:7" x14ac:dyDescent="0.3">
      <c r="G735" s="98"/>
    </row>
    <row r="736" spans="7:7" x14ac:dyDescent="0.3">
      <c r="G736" s="98"/>
    </row>
    <row r="737" spans="7:7" x14ac:dyDescent="0.3">
      <c r="G737" s="98"/>
    </row>
    <row r="738" spans="7:7" x14ac:dyDescent="0.3">
      <c r="G738" s="98"/>
    </row>
    <row r="739" spans="7:7" x14ac:dyDescent="0.3">
      <c r="G739" s="98"/>
    </row>
    <row r="740" spans="7:7" x14ac:dyDescent="0.3">
      <c r="G740" s="98"/>
    </row>
    <row r="741" spans="7:7" x14ac:dyDescent="0.3">
      <c r="G741" s="98"/>
    </row>
    <row r="742" spans="7:7" x14ac:dyDescent="0.3">
      <c r="G742" s="98"/>
    </row>
    <row r="743" spans="7:7" x14ac:dyDescent="0.3">
      <c r="G743" s="98"/>
    </row>
    <row r="744" spans="7:7" x14ac:dyDescent="0.3">
      <c r="G744" s="98"/>
    </row>
    <row r="745" spans="7:7" x14ac:dyDescent="0.3">
      <c r="G745" s="98"/>
    </row>
    <row r="746" spans="7:7" x14ac:dyDescent="0.3">
      <c r="G746" s="98"/>
    </row>
    <row r="747" spans="7:7" x14ac:dyDescent="0.3">
      <c r="G747" s="98"/>
    </row>
    <row r="748" spans="7:7" x14ac:dyDescent="0.3">
      <c r="G748" s="98"/>
    </row>
    <row r="749" spans="7:7" x14ac:dyDescent="0.3">
      <c r="G749" s="98"/>
    </row>
    <row r="750" spans="7:7" x14ac:dyDescent="0.3">
      <c r="G750" s="98"/>
    </row>
    <row r="751" spans="7:7" x14ac:dyDescent="0.3">
      <c r="G751" s="98"/>
    </row>
    <row r="752" spans="7:7" x14ac:dyDescent="0.3">
      <c r="G752" s="98"/>
    </row>
    <row r="753" spans="7:7" x14ac:dyDescent="0.3">
      <c r="G753" s="98"/>
    </row>
    <row r="754" spans="7:7" x14ac:dyDescent="0.3">
      <c r="G754" s="98"/>
    </row>
    <row r="755" spans="7:7" x14ac:dyDescent="0.3">
      <c r="G755" s="98"/>
    </row>
    <row r="756" spans="7:7" x14ac:dyDescent="0.3">
      <c r="G756" s="98"/>
    </row>
    <row r="757" spans="7:7" x14ac:dyDescent="0.3">
      <c r="G757" s="98"/>
    </row>
    <row r="758" spans="7:7" x14ac:dyDescent="0.3">
      <c r="G758" s="98"/>
    </row>
    <row r="759" spans="7:7" x14ac:dyDescent="0.3">
      <c r="G759" s="98"/>
    </row>
    <row r="760" spans="7:7" x14ac:dyDescent="0.3">
      <c r="G760" s="98"/>
    </row>
    <row r="761" spans="7:7" x14ac:dyDescent="0.3">
      <c r="G761" s="98"/>
    </row>
    <row r="762" spans="7:7" x14ac:dyDescent="0.3">
      <c r="G762" s="98"/>
    </row>
    <row r="763" spans="7:7" x14ac:dyDescent="0.3">
      <c r="G763" s="98"/>
    </row>
    <row r="764" spans="7:7" x14ac:dyDescent="0.3">
      <c r="G764" s="98"/>
    </row>
    <row r="765" spans="7:7" x14ac:dyDescent="0.3">
      <c r="G765" s="98"/>
    </row>
    <row r="766" spans="7:7" x14ac:dyDescent="0.3">
      <c r="G766" s="98"/>
    </row>
    <row r="767" spans="7:7" x14ac:dyDescent="0.3">
      <c r="G767" s="98"/>
    </row>
    <row r="768" spans="7:7" x14ac:dyDescent="0.3">
      <c r="G768" s="98"/>
    </row>
    <row r="769" spans="7:7" x14ac:dyDescent="0.3">
      <c r="G769" s="98"/>
    </row>
    <row r="770" spans="7:7" x14ac:dyDescent="0.3">
      <c r="G770" s="98"/>
    </row>
    <row r="771" spans="7:7" x14ac:dyDescent="0.3">
      <c r="G771" s="98"/>
    </row>
    <row r="772" spans="7:7" x14ac:dyDescent="0.3">
      <c r="G772" s="98"/>
    </row>
    <row r="773" spans="7:7" x14ac:dyDescent="0.3">
      <c r="G773" s="98"/>
    </row>
    <row r="774" spans="7:7" x14ac:dyDescent="0.3">
      <c r="G774" s="98"/>
    </row>
    <row r="775" spans="7:7" x14ac:dyDescent="0.3">
      <c r="G775" s="98"/>
    </row>
    <row r="776" spans="7:7" x14ac:dyDescent="0.3">
      <c r="G776" s="98"/>
    </row>
    <row r="777" spans="7:7" x14ac:dyDescent="0.3">
      <c r="G777" s="98"/>
    </row>
    <row r="778" spans="7:7" x14ac:dyDescent="0.3">
      <c r="G778" s="98"/>
    </row>
    <row r="779" spans="7:7" x14ac:dyDescent="0.3">
      <c r="G779" s="98"/>
    </row>
    <row r="780" spans="7:7" x14ac:dyDescent="0.3">
      <c r="G780" s="98"/>
    </row>
    <row r="781" spans="7:7" x14ac:dyDescent="0.3">
      <c r="G781" s="98"/>
    </row>
    <row r="782" spans="7:7" x14ac:dyDescent="0.3">
      <c r="G782" s="98"/>
    </row>
    <row r="783" spans="7:7" x14ac:dyDescent="0.3">
      <c r="G783" s="98"/>
    </row>
    <row r="784" spans="7:7" x14ac:dyDescent="0.3">
      <c r="G784" s="98"/>
    </row>
    <row r="785" spans="7:7" x14ac:dyDescent="0.3">
      <c r="G785" s="98"/>
    </row>
    <row r="786" spans="7:7" x14ac:dyDescent="0.3">
      <c r="G786" s="98"/>
    </row>
    <row r="787" spans="7:7" x14ac:dyDescent="0.3">
      <c r="G787" s="98"/>
    </row>
    <row r="788" spans="7:7" x14ac:dyDescent="0.3">
      <c r="G788" s="98"/>
    </row>
    <row r="789" spans="7:7" x14ac:dyDescent="0.3">
      <c r="G789" s="98"/>
    </row>
    <row r="790" spans="7:7" x14ac:dyDescent="0.3">
      <c r="G790" s="98"/>
    </row>
    <row r="791" spans="7:7" x14ac:dyDescent="0.3">
      <c r="G791" s="98"/>
    </row>
    <row r="792" spans="7:7" x14ac:dyDescent="0.3">
      <c r="G792" s="98"/>
    </row>
    <row r="793" spans="7:7" x14ac:dyDescent="0.3">
      <c r="G793" s="98"/>
    </row>
    <row r="794" spans="7:7" x14ac:dyDescent="0.3">
      <c r="G794" s="98"/>
    </row>
    <row r="795" spans="7:7" x14ac:dyDescent="0.3">
      <c r="G795" s="98"/>
    </row>
    <row r="796" spans="7:7" x14ac:dyDescent="0.3">
      <c r="G796" s="98"/>
    </row>
    <row r="797" spans="7:7" x14ac:dyDescent="0.3">
      <c r="G797" s="98"/>
    </row>
    <row r="798" spans="7:7" x14ac:dyDescent="0.3">
      <c r="G798" s="98"/>
    </row>
    <row r="799" spans="7:7" x14ac:dyDescent="0.3">
      <c r="G799" s="98"/>
    </row>
    <row r="800" spans="7:7" x14ac:dyDescent="0.3">
      <c r="G800" s="98"/>
    </row>
    <row r="801" spans="7:7" x14ac:dyDescent="0.3">
      <c r="G801" s="98"/>
    </row>
    <row r="802" spans="7:7" x14ac:dyDescent="0.3">
      <c r="G802" s="98"/>
    </row>
    <row r="803" spans="7:7" x14ac:dyDescent="0.3">
      <c r="G803" s="98"/>
    </row>
    <row r="804" spans="7:7" x14ac:dyDescent="0.3">
      <c r="G804" s="98"/>
    </row>
    <row r="805" spans="7:7" x14ac:dyDescent="0.3">
      <c r="G805" s="98"/>
    </row>
    <row r="806" spans="7:7" x14ac:dyDescent="0.3">
      <c r="G806" s="98"/>
    </row>
    <row r="807" spans="7:7" x14ac:dyDescent="0.3">
      <c r="G807" s="98"/>
    </row>
    <row r="808" spans="7:7" x14ac:dyDescent="0.3">
      <c r="G808" s="98"/>
    </row>
    <row r="809" spans="7:7" x14ac:dyDescent="0.3">
      <c r="G809" s="98"/>
    </row>
    <row r="810" spans="7:7" x14ac:dyDescent="0.3">
      <c r="G810" s="98"/>
    </row>
    <row r="811" spans="7:7" x14ac:dyDescent="0.3">
      <c r="G811" s="98"/>
    </row>
    <row r="812" spans="7:7" x14ac:dyDescent="0.3">
      <c r="G812" s="98"/>
    </row>
    <row r="813" spans="7:7" x14ac:dyDescent="0.3">
      <c r="G813" s="98"/>
    </row>
    <row r="814" spans="7:7" x14ac:dyDescent="0.3">
      <c r="G814" s="98"/>
    </row>
    <row r="815" spans="7:7" x14ac:dyDescent="0.3">
      <c r="G815" s="98"/>
    </row>
    <row r="816" spans="7:7" x14ac:dyDescent="0.3">
      <c r="G816" s="98"/>
    </row>
    <row r="817" spans="7:7" x14ac:dyDescent="0.3">
      <c r="G817" s="98"/>
    </row>
    <row r="818" spans="7:7" x14ac:dyDescent="0.3">
      <c r="G818" s="98"/>
    </row>
    <row r="819" spans="7:7" x14ac:dyDescent="0.3">
      <c r="G819" s="98"/>
    </row>
    <row r="820" spans="7:7" x14ac:dyDescent="0.3">
      <c r="G820" s="98"/>
    </row>
    <row r="821" spans="7:7" x14ac:dyDescent="0.3">
      <c r="G821" s="98"/>
    </row>
    <row r="822" spans="7:7" x14ac:dyDescent="0.3">
      <c r="G822" s="98"/>
    </row>
    <row r="823" spans="7:7" x14ac:dyDescent="0.3">
      <c r="G823" s="98"/>
    </row>
    <row r="824" spans="7:7" x14ac:dyDescent="0.3">
      <c r="G824" s="98"/>
    </row>
    <row r="825" spans="7:7" x14ac:dyDescent="0.3">
      <c r="G825" s="98"/>
    </row>
    <row r="826" spans="7:7" x14ac:dyDescent="0.3">
      <c r="G826" s="98"/>
    </row>
    <row r="827" spans="7:7" x14ac:dyDescent="0.3">
      <c r="G827" s="98"/>
    </row>
    <row r="828" spans="7:7" x14ac:dyDescent="0.3">
      <c r="G828" s="98"/>
    </row>
    <row r="829" spans="7:7" x14ac:dyDescent="0.3">
      <c r="G829" s="98"/>
    </row>
    <row r="830" spans="7:7" x14ac:dyDescent="0.3">
      <c r="G830" s="98"/>
    </row>
    <row r="831" spans="7:7" x14ac:dyDescent="0.3">
      <c r="G831" s="98"/>
    </row>
    <row r="832" spans="7:7" x14ac:dyDescent="0.3">
      <c r="G832" s="98"/>
    </row>
    <row r="833" spans="7:7" x14ac:dyDescent="0.3">
      <c r="G833" s="98"/>
    </row>
    <row r="834" spans="7:7" x14ac:dyDescent="0.3">
      <c r="G834" s="98"/>
    </row>
    <row r="835" spans="7:7" x14ac:dyDescent="0.3">
      <c r="G835" s="98"/>
    </row>
    <row r="836" spans="7:7" x14ac:dyDescent="0.3">
      <c r="G836" s="98"/>
    </row>
    <row r="837" spans="7:7" x14ac:dyDescent="0.3">
      <c r="G837" s="98"/>
    </row>
    <row r="838" spans="7:7" x14ac:dyDescent="0.3">
      <c r="G838" s="98"/>
    </row>
    <row r="839" spans="7:7" x14ac:dyDescent="0.3">
      <c r="G839" s="98"/>
    </row>
    <row r="840" spans="7:7" x14ac:dyDescent="0.3">
      <c r="G840" s="98"/>
    </row>
    <row r="841" spans="7:7" x14ac:dyDescent="0.3">
      <c r="G841" s="98"/>
    </row>
    <row r="842" spans="7:7" x14ac:dyDescent="0.3">
      <c r="G842" s="98"/>
    </row>
    <row r="843" spans="7:7" x14ac:dyDescent="0.3">
      <c r="G843" s="98"/>
    </row>
    <row r="844" spans="7:7" x14ac:dyDescent="0.3">
      <c r="G844" s="98"/>
    </row>
    <row r="845" spans="7:7" x14ac:dyDescent="0.3">
      <c r="G845" s="98"/>
    </row>
    <row r="846" spans="7:7" x14ac:dyDescent="0.3">
      <c r="G846" s="98"/>
    </row>
    <row r="847" spans="7:7" x14ac:dyDescent="0.3">
      <c r="G847" s="98"/>
    </row>
    <row r="848" spans="7:7" x14ac:dyDescent="0.3">
      <c r="G848" s="98"/>
    </row>
    <row r="849" spans="7:7" x14ac:dyDescent="0.3">
      <c r="G849" s="98"/>
    </row>
    <row r="850" spans="7:7" x14ac:dyDescent="0.3">
      <c r="G850" s="98"/>
    </row>
    <row r="851" spans="7:7" x14ac:dyDescent="0.3">
      <c r="G851" s="98"/>
    </row>
    <row r="852" spans="7:7" x14ac:dyDescent="0.3">
      <c r="G852" s="98"/>
    </row>
    <row r="853" spans="7:7" x14ac:dyDescent="0.3">
      <c r="G853" s="98"/>
    </row>
    <row r="854" spans="7:7" x14ac:dyDescent="0.3">
      <c r="G854" s="98"/>
    </row>
    <row r="855" spans="7:7" x14ac:dyDescent="0.3">
      <c r="G855" s="98"/>
    </row>
    <row r="856" spans="7:7" x14ac:dyDescent="0.3">
      <c r="G856" s="98"/>
    </row>
    <row r="857" spans="7:7" x14ac:dyDescent="0.3">
      <c r="G857" s="98"/>
    </row>
    <row r="858" spans="7:7" x14ac:dyDescent="0.3">
      <c r="G858" s="98"/>
    </row>
    <row r="859" spans="7:7" x14ac:dyDescent="0.3">
      <c r="G859" s="98"/>
    </row>
    <row r="860" spans="7:7" x14ac:dyDescent="0.3">
      <c r="G860" s="98"/>
    </row>
    <row r="861" spans="7:7" x14ac:dyDescent="0.3">
      <c r="G861" s="98"/>
    </row>
    <row r="862" spans="7:7" x14ac:dyDescent="0.3">
      <c r="G862" s="98"/>
    </row>
    <row r="863" spans="7:7" x14ac:dyDescent="0.3">
      <c r="G863" s="98"/>
    </row>
    <row r="864" spans="7:7" x14ac:dyDescent="0.3">
      <c r="G864" s="98"/>
    </row>
    <row r="865" spans="7:7" x14ac:dyDescent="0.3">
      <c r="G865" s="98"/>
    </row>
    <row r="866" spans="7:7" x14ac:dyDescent="0.3">
      <c r="G866" s="98"/>
    </row>
    <row r="867" spans="7:7" x14ac:dyDescent="0.3">
      <c r="G867" s="98"/>
    </row>
    <row r="868" spans="7:7" x14ac:dyDescent="0.3">
      <c r="G868" s="98"/>
    </row>
    <row r="869" spans="7:7" x14ac:dyDescent="0.3">
      <c r="G869" s="98"/>
    </row>
    <row r="870" spans="7:7" x14ac:dyDescent="0.3">
      <c r="G870" s="98"/>
    </row>
    <row r="871" spans="7:7" x14ac:dyDescent="0.3">
      <c r="G871" s="98"/>
    </row>
    <row r="872" spans="7:7" x14ac:dyDescent="0.3">
      <c r="G872" s="98"/>
    </row>
    <row r="873" spans="7:7" x14ac:dyDescent="0.3">
      <c r="G873" s="98"/>
    </row>
    <row r="874" spans="7:7" x14ac:dyDescent="0.3">
      <c r="G874" s="98"/>
    </row>
    <row r="875" spans="7:7" x14ac:dyDescent="0.3">
      <c r="G875" s="98"/>
    </row>
    <row r="876" spans="7:7" x14ac:dyDescent="0.3">
      <c r="G876" s="98"/>
    </row>
    <row r="877" spans="7:7" x14ac:dyDescent="0.3">
      <c r="G877" s="98"/>
    </row>
    <row r="878" spans="7:7" x14ac:dyDescent="0.3">
      <c r="G878" s="98"/>
    </row>
    <row r="879" spans="7:7" x14ac:dyDescent="0.3">
      <c r="G879" s="98"/>
    </row>
    <row r="880" spans="7:7" x14ac:dyDescent="0.3">
      <c r="G880" s="98"/>
    </row>
    <row r="881" spans="7:7" x14ac:dyDescent="0.3">
      <c r="G881" s="98"/>
    </row>
    <row r="882" spans="7:7" x14ac:dyDescent="0.3">
      <c r="G882" s="98"/>
    </row>
    <row r="883" spans="7:7" x14ac:dyDescent="0.3">
      <c r="G883" s="98"/>
    </row>
    <row r="884" spans="7:7" x14ac:dyDescent="0.3">
      <c r="G884" s="98"/>
    </row>
    <row r="885" spans="7:7" x14ac:dyDescent="0.3">
      <c r="G885" s="98"/>
    </row>
    <row r="886" spans="7:7" x14ac:dyDescent="0.3">
      <c r="G886" s="98"/>
    </row>
    <row r="887" spans="7:7" x14ac:dyDescent="0.3">
      <c r="G887" s="98"/>
    </row>
    <row r="888" spans="7:7" x14ac:dyDescent="0.3">
      <c r="G888" s="98"/>
    </row>
    <row r="889" spans="7:7" x14ac:dyDescent="0.3">
      <c r="G889" s="98"/>
    </row>
    <row r="890" spans="7:7" x14ac:dyDescent="0.3">
      <c r="G890" s="98"/>
    </row>
    <row r="891" spans="7:7" x14ac:dyDescent="0.3">
      <c r="G891" s="98"/>
    </row>
    <row r="892" spans="7:7" x14ac:dyDescent="0.3">
      <c r="G892" s="98"/>
    </row>
    <row r="893" spans="7:7" x14ac:dyDescent="0.3">
      <c r="G893" s="98"/>
    </row>
    <row r="894" spans="7:7" x14ac:dyDescent="0.3">
      <c r="G894" s="98"/>
    </row>
    <row r="895" spans="7:7" x14ac:dyDescent="0.3">
      <c r="G895" s="98"/>
    </row>
    <row r="896" spans="7:7" x14ac:dyDescent="0.3">
      <c r="G896" s="98"/>
    </row>
    <row r="897" spans="7:7" x14ac:dyDescent="0.3">
      <c r="G897" s="98"/>
    </row>
    <row r="898" spans="7:7" x14ac:dyDescent="0.3">
      <c r="G898" s="98"/>
    </row>
    <row r="899" spans="7:7" x14ac:dyDescent="0.3">
      <c r="G899" s="98"/>
    </row>
    <row r="900" spans="7:7" x14ac:dyDescent="0.3">
      <c r="G900" s="98"/>
    </row>
    <row r="901" spans="7:7" x14ac:dyDescent="0.3">
      <c r="G901" s="98"/>
    </row>
    <row r="902" spans="7:7" x14ac:dyDescent="0.3">
      <c r="G902" s="98"/>
    </row>
    <row r="903" spans="7:7" x14ac:dyDescent="0.3">
      <c r="G903" s="98"/>
    </row>
    <row r="904" spans="7:7" x14ac:dyDescent="0.3">
      <c r="G904" s="98"/>
    </row>
    <row r="905" spans="7:7" x14ac:dyDescent="0.3">
      <c r="G905" s="98"/>
    </row>
    <row r="906" spans="7:7" x14ac:dyDescent="0.3">
      <c r="G906" s="98"/>
    </row>
    <row r="907" spans="7:7" x14ac:dyDescent="0.3">
      <c r="G907" s="98"/>
    </row>
    <row r="908" spans="7:7" x14ac:dyDescent="0.3">
      <c r="G908" s="98"/>
    </row>
    <row r="909" spans="7:7" x14ac:dyDescent="0.3">
      <c r="G909" s="98"/>
    </row>
    <row r="910" spans="7:7" x14ac:dyDescent="0.3">
      <c r="G910" s="98"/>
    </row>
    <row r="911" spans="7:7" x14ac:dyDescent="0.3">
      <c r="G911" s="98"/>
    </row>
    <row r="912" spans="7:7" x14ac:dyDescent="0.3">
      <c r="G912" s="98"/>
    </row>
    <row r="913" spans="7:7" x14ac:dyDescent="0.3">
      <c r="G913" s="98"/>
    </row>
    <row r="914" spans="7:7" x14ac:dyDescent="0.3">
      <c r="G914" s="98"/>
    </row>
    <row r="915" spans="7:7" x14ac:dyDescent="0.3">
      <c r="G915" s="98"/>
    </row>
    <row r="916" spans="7:7" x14ac:dyDescent="0.3">
      <c r="G916" s="98"/>
    </row>
    <row r="917" spans="7:7" x14ac:dyDescent="0.3">
      <c r="G917" s="98"/>
    </row>
    <row r="918" spans="7:7" x14ac:dyDescent="0.3">
      <c r="G918" s="98"/>
    </row>
    <row r="919" spans="7:7" x14ac:dyDescent="0.3">
      <c r="G919" s="98"/>
    </row>
    <row r="920" spans="7:7" x14ac:dyDescent="0.3">
      <c r="G920" s="98"/>
    </row>
    <row r="921" spans="7:7" x14ac:dyDescent="0.3">
      <c r="G921" s="98"/>
    </row>
    <row r="922" spans="7:7" x14ac:dyDescent="0.3">
      <c r="G922" s="98"/>
    </row>
    <row r="923" spans="7:7" x14ac:dyDescent="0.3">
      <c r="G923" s="98"/>
    </row>
    <row r="924" spans="7:7" x14ac:dyDescent="0.3">
      <c r="G924" s="98"/>
    </row>
    <row r="925" spans="7:7" x14ac:dyDescent="0.3">
      <c r="G925" s="98"/>
    </row>
    <row r="926" spans="7:7" x14ac:dyDescent="0.3">
      <c r="G926" s="98"/>
    </row>
    <row r="927" spans="7:7" x14ac:dyDescent="0.3">
      <c r="G927" s="98"/>
    </row>
    <row r="928" spans="7:7" x14ac:dyDescent="0.3">
      <c r="G928" s="98"/>
    </row>
    <row r="929" spans="7:7" x14ac:dyDescent="0.3">
      <c r="G929" s="98"/>
    </row>
    <row r="930" spans="7:7" x14ac:dyDescent="0.3">
      <c r="G930" s="98"/>
    </row>
    <row r="931" spans="7:7" x14ac:dyDescent="0.3">
      <c r="G931" s="98"/>
    </row>
    <row r="932" spans="7:7" x14ac:dyDescent="0.3">
      <c r="G932" s="98"/>
    </row>
    <row r="933" spans="7:7" x14ac:dyDescent="0.3">
      <c r="G933" s="98"/>
    </row>
    <row r="934" spans="7:7" x14ac:dyDescent="0.3">
      <c r="G934" s="98"/>
    </row>
    <row r="935" spans="7:7" x14ac:dyDescent="0.3">
      <c r="G935" s="98"/>
    </row>
    <row r="936" spans="7:7" x14ac:dyDescent="0.3">
      <c r="G936" s="98"/>
    </row>
    <row r="937" spans="7:7" x14ac:dyDescent="0.3">
      <c r="G937" s="98"/>
    </row>
    <row r="938" spans="7:7" x14ac:dyDescent="0.3">
      <c r="G938" s="98"/>
    </row>
    <row r="939" spans="7:7" x14ac:dyDescent="0.3">
      <c r="G939" s="98"/>
    </row>
    <row r="940" spans="7:7" x14ac:dyDescent="0.3">
      <c r="G940" s="98"/>
    </row>
    <row r="941" spans="7:7" x14ac:dyDescent="0.3">
      <c r="G941" s="98"/>
    </row>
    <row r="942" spans="7:7" x14ac:dyDescent="0.3">
      <c r="G942" s="98"/>
    </row>
    <row r="943" spans="7:7" x14ac:dyDescent="0.3">
      <c r="G943" s="98"/>
    </row>
    <row r="944" spans="7:7" x14ac:dyDescent="0.3">
      <c r="G944" s="98"/>
    </row>
    <row r="945" spans="7:7" x14ac:dyDescent="0.3">
      <c r="G945" s="98"/>
    </row>
    <row r="946" spans="7:7" x14ac:dyDescent="0.3">
      <c r="G946" s="98"/>
    </row>
    <row r="947" spans="7:7" x14ac:dyDescent="0.3">
      <c r="G947" s="98"/>
    </row>
    <row r="948" spans="7:7" x14ac:dyDescent="0.3">
      <c r="G948" s="98"/>
    </row>
    <row r="949" spans="7:7" x14ac:dyDescent="0.3">
      <c r="G949" s="98"/>
    </row>
    <row r="950" spans="7:7" x14ac:dyDescent="0.3">
      <c r="G950" s="98"/>
    </row>
    <row r="951" spans="7:7" x14ac:dyDescent="0.3">
      <c r="G951" s="98"/>
    </row>
    <row r="952" spans="7:7" x14ac:dyDescent="0.3">
      <c r="G952" s="98"/>
    </row>
    <row r="953" spans="7:7" x14ac:dyDescent="0.3">
      <c r="G953" s="98"/>
    </row>
    <row r="954" spans="7:7" x14ac:dyDescent="0.3">
      <c r="G954" s="98"/>
    </row>
    <row r="955" spans="7:7" x14ac:dyDescent="0.3">
      <c r="G955" s="98"/>
    </row>
    <row r="956" spans="7:7" x14ac:dyDescent="0.3">
      <c r="G956" s="98"/>
    </row>
    <row r="957" spans="7:7" x14ac:dyDescent="0.3">
      <c r="G957" s="98"/>
    </row>
    <row r="958" spans="7:7" x14ac:dyDescent="0.3">
      <c r="G958" s="98"/>
    </row>
    <row r="959" spans="7:7" x14ac:dyDescent="0.3">
      <c r="G959" s="98"/>
    </row>
    <row r="960" spans="7:7" x14ac:dyDescent="0.3">
      <c r="G960" s="98"/>
    </row>
    <row r="961" spans="7:7" x14ac:dyDescent="0.3">
      <c r="G961" s="98"/>
    </row>
    <row r="962" spans="7:7" x14ac:dyDescent="0.3">
      <c r="G962" s="98"/>
    </row>
    <row r="963" spans="7:7" x14ac:dyDescent="0.3">
      <c r="G963" s="98"/>
    </row>
    <row r="964" spans="7:7" x14ac:dyDescent="0.3">
      <c r="G964" s="98"/>
    </row>
    <row r="965" spans="7:7" x14ac:dyDescent="0.3">
      <c r="G965" s="98"/>
    </row>
    <row r="966" spans="7:7" x14ac:dyDescent="0.3">
      <c r="G966" s="98"/>
    </row>
    <row r="967" spans="7:7" x14ac:dyDescent="0.3">
      <c r="G967" s="98"/>
    </row>
    <row r="968" spans="7:7" x14ac:dyDescent="0.3">
      <c r="G968" s="98"/>
    </row>
    <row r="969" spans="7:7" x14ac:dyDescent="0.3">
      <c r="G969" s="98"/>
    </row>
    <row r="970" spans="7:7" x14ac:dyDescent="0.3">
      <c r="G970" s="98"/>
    </row>
    <row r="971" spans="7:7" x14ac:dyDescent="0.3">
      <c r="G971" s="98"/>
    </row>
    <row r="972" spans="7:7" x14ac:dyDescent="0.3">
      <c r="G972" s="98"/>
    </row>
    <row r="973" spans="7:7" x14ac:dyDescent="0.3">
      <c r="G973" s="98"/>
    </row>
    <row r="974" spans="7:7" x14ac:dyDescent="0.3">
      <c r="G974" s="98"/>
    </row>
    <row r="975" spans="7:7" x14ac:dyDescent="0.3">
      <c r="G975" s="98"/>
    </row>
    <row r="976" spans="7:7" x14ac:dyDescent="0.3">
      <c r="G976" s="98"/>
    </row>
    <row r="977" spans="7:7" x14ac:dyDescent="0.3">
      <c r="G977" s="98"/>
    </row>
    <row r="978" spans="7:7" x14ac:dyDescent="0.3">
      <c r="G978" s="98"/>
    </row>
    <row r="979" spans="7:7" x14ac:dyDescent="0.3">
      <c r="G979" s="98"/>
    </row>
    <row r="980" spans="7:7" x14ac:dyDescent="0.3">
      <c r="G980" s="98"/>
    </row>
    <row r="981" spans="7:7" x14ac:dyDescent="0.3">
      <c r="G981" s="98"/>
    </row>
    <row r="982" spans="7:7" x14ac:dyDescent="0.3">
      <c r="G982" s="98"/>
    </row>
    <row r="983" spans="7:7" x14ac:dyDescent="0.3">
      <c r="G983" s="98"/>
    </row>
    <row r="984" spans="7:7" x14ac:dyDescent="0.3">
      <c r="G984" s="98"/>
    </row>
    <row r="985" spans="7:7" x14ac:dyDescent="0.3">
      <c r="G985" s="98"/>
    </row>
    <row r="986" spans="7:7" x14ac:dyDescent="0.3">
      <c r="G986" s="98"/>
    </row>
    <row r="987" spans="7:7" x14ac:dyDescent="0.3">
      <c r="G987" s="98"/>
    </row>
    <row r="988" spans="7:7" x14ac:dyDescent="0.3">
      <c r="G988" s="98"/>
    </row>
    <row r="989" spans="7:7" x14ac:dyDescent="0.3">
      <c r="G989" s="98"/>
    </row>
    <row r="990" spans="7:7" x14ac:dyDescent="0.3">
      <c r="G990" s="98"/>
    </row>
    <row r="991" spans="7:7" x14ac:dyDescent="0.3">
      <c r="G991" s="98"/>
    </row>
    <row r="992" spans="7:7" x14ac:dyDescent="0.3">
      <c r="G992" s="98"/>
    </row>
    <row r="993" spans="7:7" x14ac:dyDescent="0.3">
      <c r="G993" s="98"/>
    </row>
    <row r="994" spans="7:7" x14ac:dyDescent="0.3">
      <c r="G994" s="98"/>
    </row>
    <row r="995" spans="7:7" x14ac:dyDescent="0.3">
      <c r="G995" s="98"/>
    </row>
    <row r="996" spans="7:7" x14ac:dyDescent="0.3">
      <c r="G996" s="98"/>
    </row>
    <row r="997" spans="7:7" x14ac:dyDescent="0.3">
      <c r="G997" s="98"/>
    </row>
    <row r="998" spans="7:7" x14ac:dyDescent="0.3">
      <c r="G998" s="98"/>
    </row>
    <row r="999" spans="7:7" x14ac:dyDescent="0.3">
      <c r="G999" s="98"/>
    </row>
    <row r="1000" spans="7:7" x14ac:dyDescent="0.3">
      <c r="G1000" s="98"/>
    </row>
    <row r="1001" spans="7:7" x14ac:dyDescent="0.3">
      <c r="G1001" s="98"/>
    </row>
    <row r="1002" spans="7:7" x14ac:dyDescent="0.3">
      <c r="G1002" s="98"/>
    </row>
    <row r="1003" spans="7:7" x14ac:dyDescent="0.3">
      <c r="G1003" s="98"/>
    </row>
    <row r="1004" spans="7:7" x14ac:dyDescent="0.3">
      <c r="G1004" s="98"/>
    </row>
    <row r="1005" spans="7:7" x14ac:dyDescent="0.3">
      <c r="G1005" s="98"/>
    </row>
    <row r="1006" spans="7:7" x14ac:dyDescent="0.3">
      <c r="G1006" s="98"/>
    </row>
    <row r="1007" spans="7:7" x14ac:dyDescent="0.3">
      <c r="G1007" s="98"/>
    </row>
    <row r="1008" spans="7:7" x14ac:dyDescent="0.3">
      <c r="G1008" s="98"/>
    </row>
    <row r="1009" spans="7:7" x14ac:dyDescent="0.3">
      <c r="G1009" s="98"/>
    </row>
    <row r="1010" spans="7:7" x14ac:dyDescent="0.3">
      <c r="G1010" s="98"/>
    </row>
    <row r="1011" spans="7:7" x14ac:dyDescent="0.3">
      <c r="G1011" s="98"/>
    </row>
    <row r="1012" spans="7:7" x14ac:dyDescent="0.3">
      <c r="G1012" s="98"/>
    </row>
    <row r="1013" spans="7:7" x14ac:dyDescent="0.3">
      <c r="G1013" s="98"/>
    </row>
    <row r="1014" spans="7:7" x14ac:dyDescent="0.3">
      <c r="G1014" s="98"/>
    </row>
    <row r="1015" spans="7:7" x14ac:dyDescent="0.3">
      <c r="G1015" s="98"/>
    </row>
    <row r="1016" spans="7:7" x14ac:dyDescent="0.3">
      <c r="G1016" s="98"/>
    </row>
    <row r="1017" spans="7:7" x14ac:dyDescent="0.3">
      <c r="G1017" s="98"/>
    </row>
    <row r="1018" spans="7:7" x14ac:dyDescent="0.3">
      <c r="G1018" s="98"/>
    </row>
    <row r="1019" spans="7:7" x14ac:dyDescent="0.3">
      <c r="G1019" s="98"/>
    </row>
    <row r="1020" spans="7:7" x14ac:dyDescent="0.3">
      <c r="G1020" s="98"/>
    </row>
    <row r="1021" spans="7:7" x14ac:dyDescent="0.3">
      <c r="G1021" s="98"/>
    </row>
    <row r="1022" spans="7:7" x14ac:dyDescent="0.3">
      <c r="G1022" s="98"/>
    </row>
    <row r="1023" spans="7:7" x14ac:dyDescent="0.3">
      <c r="G1023" s="98"/>
    </row>
    <row r="1024" spans="7:7" x14ac:dyDescent="0.3">
      <c r="G1024" s="98"/>
    </row>
    <row r="1025" spans="7:7" x14ac:dyDescent="0.3">
      <c r="G1025" s="98"/>
    </row>
    <row r="1026" spans="7:7" x14ac:dyDescent="0.3">
      <c r="G1026" s="98"/>
    </row>
    <row r="1027" spans="7:7" x14ac:dyDescent="0.3">
      <c r="G1027" s="98"/>
    </row>
    <row r="1028" spans="7:7" x14ac:dyDescent="0.3">
      <c r="G1028" s="98"/>
    </row>
    <row r="1029" spans="7:7" x14ac:dyDescent="0.3">
      <c r="G1029" s="98"/>
    </row>
    <row r="1030" spans="7:7" x14ac:dyDescent="0.3">
      <c r="G1030" s="98"/>
    </row>
    <row r="1031" spans="7:7" x14ac:dyDescent="0.3">
      <c r="G1031" s="98"/>
    </row>
    <row r="1032" spans="7:7" x14ac:dyDescent="0.3">
      <c r="G1032" s="98"/>
    </row>
    <row r="1033" spans="7:7" x14ac:dyDescent="0.3">
      <c r="G1033" s="98"/>
    </row>
    <row r="1034" spans="7:7" x14ac:dyDescent="0.3">
      <c r="G1034" s="98"/>
    </row>
    <row r="1035" spans="7:7" x14ac:dyDescent="0.3">
      <c r="G1035" s="98"/>
    </row>
    <row r="1036" spans="7:7" x14ac:dyDescent="0.3">
      <c r="G1036" s="98"/>
    </row>
    <row r="1037" spans="7:7" x14ac:dyDescent="0.3">
      <c r="G1037" s="98"/>
    </row>
    <row r="1038" spans="7:7" x14ac:dyDescent="0.3">
      <c r="G1038" s="98"/>
    </row>
    <row r="1039" spans="7:7" x14ac:dyDescent="0.3">
      <c r="G1039" s="98"/>
    </row>
    <row r="1040" spans="7:7" x14ac:dyDescent="0.3">
      <c r="G1040" s="98"/>
    </row>
    <row r="1041" spans="7:7" x14ac:dyDescent="0.3">
      <c r="G1041" s="98"/>
    </row>
    <row r="1042" spans="7:7" x14ac:dyDescent="0.3">
      <c r="G1042" s="98"/>
    </row>
    <row r="1043" spans="7:7" x14ac:dyDescent="0.3">
      <c r="G1043" s="98"/>
    </row>
    <row r="1044" spans="7:7" x14ac:dyDescent="0.3">
      <c r="G1044" s="98"/>
    </row>
    <row r="1045" spans="7:7" x14ac:dyDescent="0.3">
      <c r="G1045" s="98"/>
    </row>
    <row r="1046" spans="7:7" x14ac:dyDescent="0.3">
      <c r="G1046" s="98"/>
    </row>
    <row r="1047" spans="7:7" x14ac:dyDescent="0.3">
      <c r="G1047" s="98"/>
    </row>
    <row r="1048" spans="7:7" x14ac:dyDescent="0.3">
      <c r="G1048" s="98"/>
    </row>
    <row r="1049" spans="7:7" x14ac:dyDescent="0.3">
      <c r="G1049" s="98"/>
    </row>
    <row r="1050" spans="7:7" x14ac:dyDescent="0.3">
      <c r="G1050" s="98"/>
    </row>
    <row r="1051" spans="7:7" x14ac:dyDescent="0.3">
      <c r="G1051" s="98"/>
    </row>
    <row r="1052" spans="7:7" x14ac:dyDescent="0.3">
      <c r="G1052" s="98"/>
    </row>
    <row r="1053" spans="7:7" x14ac:dyDescent="0.3">
      <c r="G1053" s="98"/>
    </row>
    <row r="1054" spans="7:7" x14ac:dyDescent="0.3">
      <c r="G1054" s="98"/>
    </row>
    <row r="1055" spans="7:7" x14ac:dyDescent="0.3">
      <c r="G1055" s="98"/>
    </row>
    <row r="1056" spans="7:7" x14ac:dyDescent="0.3">
      <c r="G1056" s="98"/>
    </row>
    <row r="1057" spans="7:7" x14ac:dyDescent="0.3">
      <c r="G1057" s="98"/>
    </row>
    <row r="1058" spans="7:7" x14ac:dyDescent="0.3">
      <c r="G1058" s="98"/>
    </row>
    <row r="1059" spans="7:7" x14ac:dyDescent="0.3">
      <c r="G1059" s="98"/>
    </row>
    <row r="1060" spans="7:7" x14ac:dyDescent="0.3">
      <c r="G1060" s="98"/>
    </row>
    <row r="1061" spans="7:7" x14ac:dyDescent="0.3">
      <c r="G1061" s="98"/>
    </row>
    <row r="1062" spans="7:7" x14ac:dyDescent="0.3">
      <c r="G1062" s="98"/>
    </row>
    <row r="1063" spans="7:7" x14ac:dyDescent="0.3">
      <c r="G1063" s="98"/>
    </row>
    <row r="1064" spans="7:7" x14ac:dyDescent="0.3">
      <c r="G1064" s="98"/>
    </row>
    <row r="1065" spans="7:7" x14ac:dyDescent="0.3">
      <c r="G1065" s="98"/>
    </row>
    <row r="1066" spans="7:7" x14ac:dyDescent="0.3">
      <c r="G1066" s="98"/>
    </row>
    <row r="1067" spans="7:7" x14ac:dyDescent="0.3">
      <c r="G1067" s="98"/>
    </row>
    <row r="1068" spans="7:7" x14ac:dyDescent="0.3">
      <c r="G1068" s="98"/>
    </row>
    <row r="1069" spans="7:7" x14ac:dyDescent="0.3">
      <c r="G1069" s="98"/>
    </row>
    <row r="1070" spans="7:7" x14ac:dyDescent="0.3">
      <c r="G1070" s="98"/>
    </row>
    <row r="1071" spans="7:7" x14ac:dyDescent="0.3">
      <c r="G1071" s="98"/>
    </row>
    <row r="1072" spans="7:7" x14ac:dyDescent="0.3">
      <c r="G1072" s="98"/>
    </row>
    <row r="1073" spans="7:7" x14ac:dyDescent="0.3">
      <c r="G1073" s="98"/>
    </row>
    <row r="1074" spans="7:7" x14ac:dyDescent="0.3">
      <c r="G1074" s="98"/>
    </row>
    <row r="1075" spans="7:7" x14ac:dyDescent="0.3">
      <c r="G1075" s="98"/>
    </row>
    <row r="1076" spans="7:7" x14ac:dyDescent="0.3">
      <c r="G1076" s="98"/>
    </row>
    <row r="1077" spans="7:7" x14ac:dyDescent="0.3">
      <c r="G1077" s="98"/>
    </row>
    <row r="1078" spans="7:7" x14ac:dyDescent="0.3">
      <c r="G1078" s="98"/>
    </row>
    <row r="1079" spans="7:7" x14ac:dyDescent="0.3">
      <c r="G1079" s="98"/>
    </row>
    <row r="1080" spans="7:7" x14ac:dyDescent="0.3">
      <c r="G1080" s="98"/>
    </row>
    <row r="1081" spans="7:7" x14ac:dyDescent="0.3">
      <c r="G1081" s="98"/>
    </row>
    <row r="1082" spans="7:7" x14ac:dyDescent="0.3">
      <c r="G1082" s="98"/>
    </row>
    <row r="1083" spans="7:7" x14ac:dyDescent="0.3">
      <c r="G1083" s="98"/>
    </row>
    <row r="1084" spans="7:7" x14ac:dyDescent="0.3">
      <c r="G1084" s="98"/>
    </row>
    <row r="1085" spans="7:7" x14ac:dyDescent="0.3">
      <c r="G1085" s="98"/>
    </row>
    <row r="1086" spans="7:7" x14ac:dyDescent="0.3">
      <c r="G1086" s="98"/>
    </row>
    <row r="1087" spans="7:7" x14ac:dyDescent="0.3">
      <c r="G1087" s="98"/>
    </row>
    <row r="1088" spans="7:7" x14ac:dyDescent="0.3">
      <c r="G1088" s="98"/>
    </row>
    <row r="1089" spans="7:7" x14ac:dyDescent="0.3">
      <c r="G1089" s="98"/>
    </row>
    <row r="1090" spans="7:7" x14ac:dyDescent="0.3">
      <c r="G1090" s="98"/>
    </row>
    <row r="1091" spans="7:7" x14ac:dyDescent="0.3">
      <c r="G1091" s="98"/>
    </row>
    <row r="1092" spans="7:7" x14ac:dyDescent="0.3">
      <c r="G1092" s="98"/>
    </row>
    <row r="1093" spans="7:7" x14ac:dyDescent="0.3">
      <c r="G1093" s="98"/>
    </row>
    <row r="1094" spans="7:7" x14ac:dyDescent="0.3">
      <c r="G1094" s="98"/>
    </row>
    <row r="1095" spans="7:7" x14ac:dyDescent="0.3">
      <c r="G1095" s="98"/>
    </row>
    <row r="1096" spans="7:7" x14ac:dyDescent="0.3">
      <c r="G1096" s="98"/>
    </row>
    <row r="1097" spans="7:7" x14ac:dyDescent="0.3">
      <c r="G1097" s="98"/>
    </row>
    <row r="1098" spans="7:7" x14ac:dyDescent="0.3">
      <c r="G1098" s="98"/>
    </row>
    <row r="1099" spans="7:7" x14ac:dyDescent="0.3">
      <c r="G1099" s="98"/>
    </row>
    <row r="1100" spans="7:7" x14ac:dyDescent="0.3">
      <c r="G1100" s="98"/>
    </row>
    <row r="1101" spans="7:7" x14ac:dyDescent="0.3">
      <c r="G1101" s="98"/>
    </row>
    <row r="1102" spans="7:7" x14ac:dyDescent="0.3">
      <c r="G1102" s="98"/>
    </row>
    <row r="1103" spans="7:7" x14ac:dyDescent="0.3">
      <c r="G1103" s="98"/>
    </row>
    <row r="1104" spans="7:7" x14ac:dyDescent="0.3">
      <c r="G1104" s="98"/>
    </row>
    <row r="1105" spans="7:7" x14ac:dyDescent="0.3">
      <c r="G1105" s="98"/>
    </row>
    <row r="1106" spans="7:7" x14ac:dyDescent="0.3">
      <c r="G1106" s="98"/>
    </row>
    <row r="1107" spans="7:7" x14ac:dyDescent="0.3">
      <c r="G1107" s="98"/>
    </row>
    <row r="1108" spans="7:7" x14ac:dyDescent="0.3">
      <c r="G1108" s="98"/>
    </row>
    <row r="1109" spans="7:7" x14ac:dyDescent="0.3">
      <c r="G1109" s="98"/>
    </row>
    <row r="1110" spans="7:7" x14ac:dyDescent="0.3">
      <c r="G1110" s="98"/>
    </row>
    <row r="1111" spans="7:7" x14ac:dyDescent="0.3">
      <c r="G1111" s="98"/>
    </row>
    <row r="1112" spans="7:7" x14ac:dyDescent="0.3">
      <c r="G1112" s="98"/>
    </row>
    <row r="1113" spans="7:7" x14ac:dyDescent="0.3">
      <c r="G1113" s="98"/>
    </row>
    <row r="1114" spans="7:7" x14ac:dyDescent="0.3">
      <c r="G1114" s="98"/>
    </row>
    <row r="1115" spans="7:7" x14ac:dyDescent="0.3">
      <c r="G1115" s="98"/>
    </row>
    <row r="1116" spans="7:7" x14ac:dyDescent="0.3">
      <c r="G1116" s="98"/>
    </row>
    <row r="1117" spans="7:7" x14ac:dyDescent="0.3">
      <c r="G1117" s="98"/>
    </row>
    <row r="1118" spans="7:7" x14ac:dyDescent="0.3">
      <c r="G1118" s="98"/>
    </row>
    <row r="1119" spans="7:7" x14ac:dyDescent="0.3">
      <c r="G1119" s="98"/>
    </row>
    <row r="1120" spans="7:7" x14ac:dyDescent="0.3">
      <c r="G1120" s="98"/>
    </row>
    <row r="1121" spans="7:7" x14ac:dyDescent="0.3">
      <c r="G1121" s="98"/>
    </row>
    <row r="1122" spans="7:7" x14ac:dyDescent="0.3">
      <c r="G1122" s="98"/>
    </row>
    <row r="1123" spans="7:7" x14ac:dyDescent="0.3">
      <c r="G1123" s="98"/>
    </row>
    <row r="1124" spans="7:7" x14ac:dyDescent="0.3">
      <c r="G1124" s="98"/>
    </row>
    <row r="1125" spans="7:7" x14ac:dyDescent="0.3">
      <c r="G1125" s="98"/>
    </row>
    <row r="1126" spans="7:7" x14ac:dyDescent="0.3">
      <c r="G1126" s="98"/>
    </row>
    <row r="1127" spans="7:7" x14ac:dyDescent="0.3">
      <c r="G1127" s="98"/>
    </row>
    <row r="1128" spans="7:7" x14ac:dyDescent="0.3">
      <c r="G1128" s="98"/>
    </row>
    <row r="1129" spans="7:7" x14ac:dyDescent="0.3">
      <c r="G1129" s="98"/>
    </row>
    <row r="1130" spans="7:7" x14ac:dyDescent="0.3">
      <c r="G1130" s="98"/>
    </row>
    <row r="1131" spans="7:7" x14ac:dyDescent="0.3">
      <c r="G1131" s="98"/>
    </row>
    <row r="1132" spans="7:7" x14ac:dyDescent="0.3">
      <c r="G1132" s="98"/>
    </row>
    <row r="1133" spans="7:7" x14ac:dyDescent="0.3">
      <c r="G1133" s="98"/>
    </row>
    <row r="1134" spans="7:7" x14ac:dyDescent="0.3">
      <c r="G1134" s="98"/>
    </row>
    <row r="1135" spans="7:7" x14ac:dyDescent="0.3">
      <c r="G1135" s="98"/>
    </row>
    <row r="1136" spans="7:7" x14ac:dyDescent="0.3">
      <c r="G1136" s="98"/>
    </row>
    <row r="1137" spans="7:7" x14ac:dyDescent="0.3">
      <c r="G1137" s="98"/>
    </row>
    <row r="1138" spans="7:7" x14ac:dyDescent="0.3">
      <c r="G1138" s="98"/>
    </row>
    <row r="1139" spans="7:7" x14ac:dyDescent="0.3">
      <c r="G1139" s="98"/>
    </row>
    <row r="1140" spans="7:7" x14ac:dyDescent="0.3">
      <c r="G1140" s="98"/>
    </row>
    <row r="1141" spans="7:7" x14ac:dyDescent="0.3">
      <c r="G1141" s="98"/>
    </row>
    <row r="1142" spans="7:7" x14ac:dyDescent="0.3">
      <c r="G1142" s="98"/>
    </row>
    <row r="1143" spans="7:7" x14ac:dyDescent="0.3">
      <c r="G1143" s="98"/>
    </row>
    <row r="1144" spans="7:7" x14ac:dyDescent="0.3">
      <c r="G1144" s="98"/>
    </row>
    <row r="1145" spans="7:7" x14ac:dyDescent="0.3">
      <c r="G1145" s="98"/>
    </row>
    <row r="1146" spans="7:7" x14ac:dyDescent="0.3">
      <c r="G1146" s="98"/>
    </row>
    <row r="1147" spans="7:7" x14ac:dyDescent="0.3">
      <c r="G1147" s="98"/>
    </row>
    <row r="1148" spans="7:7" x14ac:dyDescent="0.3">
      <c r="G1148" s="98"/>
    </row>
    <row r="1149" spans="7:7" x14ac:dyDescent="0.3">
      <c r="G1149" s="98"/>
    </row>
    <row r="1150" spans="7:7" x14ac:dyDescent="0.3">
      <c r="G1150" s="98"/>
    </row>
    <row r="1151" spans="7:7" x14ac:dyDescent="0.3">
      <c r="G1151" s="98"/>
    </row>
    <row r="1152" spans="7:7" x14ac:dyDescent="0.3">
      <c r="G1152" s="98"/>
    </row>
    <row r="1153" spans="7:7" x14ac:dyDescent="0.3">
      <c r="G1153" s="98"/>
    </row>
    <row r="1154" spans="7:7" x14ac:dyDescent="0.3">
      <c r="G1154" s="98"/>
    </row>
    <row r="1155" spans="7:7" x14ac:dyDescent="0.3">
      <c r="G1155" s="98"/>
    </row>
    <row r="1156" spans="7:7" x14ac:dyDescent="0.3">
      <c r="G1156" s="98"/>
    </row>
    <row r="1157" spans="7:7" x14ac:dyDescent="0.3">
      <c r="G1157" s="98"/>
    </row>
    <row r="1158" spans="7:7" x14ac:dyDescent="0.3">
      <c r="G1158" s="98"/>
    </row>
    <row r="1159" spans="7:7" x14ac:dyDescent="0.3">
      <c r="G1159" s="98"/>
    </row>
    <row r="1160" spans="7:7" x14ac:dyDescent="0.3">
      <c r="G1160" s="98"/>
    </row>
    <row r="1161" spans="7:7" x14ac:dyDescent="0.3">
      <c r="G1161" s="98"/>
    </row>
    <row r="1162" spans="7:7" x14ac:dyDescent="0.3">
      <c r="G1162" s="98"/>
    </row>
    <row r="1163" spans="7:7" x14ac:dyDescent="0.3">
      <c r="G1163" s="98"/>
    </row>
    <row r="1164" spans="7:7" x14ac:dyDescent="0.3">
      <c r="G1164" s="98"/>
    </row>
    <row r="1165" spans="7:7" x14ac:dyDescent="0.3">
      <c r="G1165" s="98"/>
    </row>
    <row r="1166" spans="7:7" x14ac:dyDescent="0.3">
      <c r="G1166" s="98"/>
    </row>
    <row r="1167" spans="7:7" x14ac:dyDescent="0.3">
      <c r="G1167" s="98"/>
    </row>
    <row r="1168" spans="7:7" x14ac:dyDescent="0.3">
      <c r="G1168" s="98"/>
    </row>
    <row r="1169" spans="7:7" x14ac:dyDescent="0.3">
      <c r="G1169" s="98"/>
    </row>
    <row r="1170" spans="7:7" x14ac:dyDescent="0.3">
      <c r="G1170" s="98"/>
    </row>
    <row r="1171" spans="7:7" x14ac:dyDescent="0.3">
      <c r="G1171" s="98"/>
    </row>
    <row r="1172" spans="7:7" x14ac:dyDescent="0.3">
      <c r="G1172" s="98"/>
    </row>
    <row r="1173" spans="7:7" x14ac:dyDescent="0.3">
      <c r="G1173" s="98"/>
    </row>
    <row r="1174" spans="7:7" x14ac:dyDescent="0.3">
      <c r="G1174" s="98"/>
    </row>
    <row r="1175" spans="7:7" x14ac:dyDescent="0.3">
      <c r="G1175" s="98"/>
    </row>
    <row r="1176" spans="7:7" x14ac:dyDescent="0.3">
      <c r="G1176" s="98"/>
    </row>
    <row r="1177" spans="7:7" x14ac:dyDescent="0.3">
      <c r="G1177" s="98"/>
    </row>
    <row r="1178" spans="7:7" x14ac:dyDescent="0.3">
      <c r="G1178" s="98"/>
    </row>
    <row r="1179" spans="7:7" x14ac:dyDescent="0.3">
      <c r="G1179" s="98"/>
    </row>
    <row r="1180" spans="7:7" x14ac:dyDescent="0.3">
      <c r="G1180" s="98"/>
    </row>
    <row r="1181" spans="7:7" x14ac:dyDescent="0.3">
      <c r="G1181" s="98"/>
    </row>
    <row r="1182" spans="7:7" x14ac:dyDescent="0.3">
      <c r="G1182" s="98"/>
    </row>
    <row r="1183" spans="7:7" x14ac:dyDescent="0.3">
      <c r="G1183" s="98"/>
    </row>
    <row r="1184" spans="7:7" x14ac:dyDescent="0.3">
      <c r="G1184" s="98"/>
    </row>
    <row r="1185" spans="7:7" x14ac:dyDescent="0.3">
      <c r="G1185" s="98"/>
    </row>
    <row r="1186" spans="7:7" x14ac:dyDescent="0.3">
      <c r="G1186" s="98"/>
    </row>
    <row r="1187" spans="7:7" x14ac:dyDescent="0.3">
      <c r="G1187" s="98"/>
    </row>
    <row r="1188" spans="7:7" x14ac:dyDescent="0.3">
      <c r="G1188" s="98"/>
    </row>
    <row r="1189" spans="7:7" x14ac:dyDescent="0.3">
      <c r="G1189" s="98"/>
    </row>
    <row r="1190" spans="7:7" x14ac:dyDescent="0.3">
      <c r="G1190" s="98"/>
    </row>
    <row r="1191" spans="7:7" x14ac:dyDescent="0.3">
      <c r="G1191" s="98"/>
    </row>
    <row r="1192" spans="7:7" x14ac:dyDescent="0.3">
      <c r="G1192" s="98"/>
    </row>
    <row r="1193" spans="7:7" x14ac:dyDescent="0.3">
      <c r="G1193" s="98"/>
    </row>
    <row r="1194" spans="7:7" x14ac:dyDescent="0.3">
      <c r="G1194" s="98"/>
    </row>
    <row r="1195" spans="7:7" x14ac:dyDescent="0.3">
      <c r="G1195" s="98"/>
    </row>
    <row r="1196" spans="7:7" x14ac:dyDescent="0.3">
      <c r="G1196" s="98"/>
    </row>
    <row r="1197" spans="7:7" x14ac:dyDescent="0.3">
      <c r="G1197" s="98"/>
    </row>
    <row r="1198" spans="7:7" x14ac:dyDescent="0.3">
      <c r="G1198" s="98"/>
    </row>
    <row r="1199" spans="7:7" x14ac:dyDescent="0.3">
      <c r="G1199" s="98"/>
    </row>
    <row r="1200" spans="7:7" x14ac:dyDescent="0.3">
      <c r="G1200" s="98"/>
    </row>
    <row r="1201" spans="7:7" x14ac:dyDescent="0.3">
      <c r="G1201" s="98"/>
    </row>
    <row r="1202" spans="7:7" x14ac:dyDescent="0.3">
      <c r="G1202" s="98"/>
    </row>
    <row r="1203" spans="7:7" x14ac:dyDescent="0.3">
      <c r="G1203" s="98"/>
    </row>
    <row r="1204" spans="7:7" x14ac:dyDescent="0.3">
      <c r="G1204" s="98"/>
    </row>
    <row r="1205" spans="7:7" x14ac:dyDescent="0.3">
      <c r="G1205" s="98"/>
    </row>
    <row r="1206" spans="7:7" x14ac:dyDescent="0.3">
      <c r="G1206" s="98"/>
    </row>
    <row r="1207" spans="7:7" x14ac:dyDescent="0.3">
      <c r="G1207" s="98"/>
    </row>
    <row r="1208" spans="7:7" x14ac:dyDescent="0.3">
      <c r="G1208" s="98"/>
    </row>
    <row r="1209" spans="7:7" x14ac:dyDescent="0.3">
      <c r="G1209" s="98"/>
    </row>
    <row r="1210" spans="7:7" x14ac:dyDescent="0.3">
      <c r="G1210" s="98"/>
    </row>
    <row r="1211" spans="7:7" x14ac:dyDescent="0.3">
      <c r="G1211" s="98"/>
    </row>
    <row r="1212" spans="7:7" x14ac:dyDescent="0.3">
      <c r="G1212" s="98"/>
    </row>
    <row r="1213" spans="7:7" x14ac:dyDescent="0.3">
      <c r="G1213" s="98"/>
    </row>
    <row r="1214" spans="7:7" x14ac:dyDescent="0.3">
      <c r="G1214" s="98"/>
    </row>
    <row r="1215" spans="7:7" x14ac:dyDescent="0.3">
      <c r="G1215" s="98"/>
    </row>
    <row r="1216" spans="7:7" x14ac:dyDescent="0.3">
      <c r="G1216" s="98"/>
    </row>
    <row r="1217" spans="7:7" x14ac:dyDescent="0.3">
      <c r="G1217" s="98"/>
    </row>
    <row r="1218" spans="7:7" x14ac:dyDescent="0.3">
      <c r="G1218" s="98"/>
    </row>
    <row r="1219" spans="7:7" x14ac:dyDescent="0.3">
      <c r="G1219" s="98"/>
    </row>
    <row r="1220" spans="7:7" x14ac:dyDescent="0.3">
      <c r="G1220" s="98"/>
    </row>
    <row r="1221" spans="7:7" x14ac:dyDescent="0.3">
      <c r="G1221" s="98"/>
    </row>
    <row r="1222" spans="7:7" x14ac:dyDescent="0.3">
      <c r="G1222" s="98"/>
    </row>
    <row r="1223" spans="7:7" x14ac:dyDescent="0.3">
      <c r="G1223" s="98"/>
    </row>
    <row r="1224" spans="7:7" x14ac:dyDescent="0.3">
      <c r="G1224" s="98"/>
    </row>
    <row r="1225" spans="7:7" x14ac:dyDescent="0.3">
      <c r="G1225" s="98"/>
    </row>
    <row r="1226" spans="7:7" x14ac:dyDescent="0.3">
      <c r="G1226" s="98"/>
    </row>
    <row r="1227" spans="7:7" x14ac:dyDescent="0.3">
      <c r="G1227" s="98"/>
    </row>
    <row r="1228" spans="7:7" x14ac:dyDescent="0.3">
      <c r="G1228" s="98"/>
    </row>
    <row r="1229" spans="7:7" x14ac:dyDescent="0.3">
      <c r="G1229" s="98"/>
    </row>
    <row r="1230" spans="7:7" x14ac:dyDescent="0.3">
      <c r="G1230" s="98"/>
    </row>
    <row r="1231" spans="7:7" x14ac:dyDescent="0.3">
      <c r="G1231" s="98"/>
    </row>
    <row r="1232" spans="7:7" x14ac:dyDescent="0.3">
      <c r="G1232" s="98"/>
    </row>
    <row r="1233" spans="7:7" x14ac:dyDescent="0.3">
      <c r="G1233" s="98"/>
    </row>
    <row r="1234" spans="7:7" x14ac:dyDescent="0.3">
      <c r="G1234" s="98"/>
    </row>
    <row r="1235" spans="7:7" x14ac:dyDescent="0.3">
      <c r="G1235" s="98"/>
    </row>
    <row r="1236" spans="7:7" x14ac:dyDescent="0.3">
      <c r="G1236" s="98"/>
    </row>
    <row r="1237" spans="7:7" x14ac:dyDescent="0.3">
      <c r="G1237" s="98"/>
    </row>
    <row r="1238" spans="7:7" x14ac:dyDescent="0.3">
      <c r="G1238" s="98"/>
    </row>
    <row r="1239" spans="7:7" x14ac:dyDescent="0.3">
      <c r="G1239" s="98"/>
    </row>
    <row r="1240" spans="7:7" x14ac:dyDescent="0.3">
      <c r="G1240" s="98"/>
    </row>
    <row r="1241" spans="7:7" x14ac:dyDescent="0.3">
      <c r="G1241" s="98"/>
    </row>
    <row r="1242" spans="7:7" x14ac:dyDescent="0.3">
      <c r="G1242" s="98"/>
    </row>
    <row r="1243" spans="7:7" x14ac:dyDescent="0.3">
      <c r="G1243" s="98"/>
    </row>
    <row r="1244" spans="7:7" x14ac:dyDescent="0.3">
      <c r="G1244" s="98"/>
    </row>
    <row r="1245" spans="7:7" x14ac:dyDescent="0.3">
      <c r="G1245" s="98"/>
    </row>
    <row r="1246" spans="7:7" x14ac:dyDescent="0.3">
      <c r="G1246" s="98"/>
    </row>
    <row r="1247" spans="7:7" x14ac:dyDescent="0.3">
      <c r="G1247" s="98"/>
    </row>
    <row r="1248" spans="7:7" x14ac:dyDescent="0.3">
      <c r="G1248" s="98"/>
    </row>
    <row r="1249" spans="7:7" x14ac:dyDescent="0.3">
      <c r="G1249" s="98"/>
    </row>
    <row r="1250" spans="7:7" x14ac:dyDescent="0.3">
      <c r="G1250" s="98"/>
    </row>
    <row r="1251" spans="7:7" x14ac:dyDescent="0.3">
      <c r="G1251" s="98"/>
    </row>
    <row r="1252" spans="7:7" x14ac:dyDescent="0.3">
      <c r="G1252" s="98"/>
    </row>
    <row r="1253" spans="7:7" x14ac:dyDescent="0.3">
      <c r="G1253" s="98"/>
    </row>
    <row r="1254" spans="7:7" x14ac:dyDescent="0.3">
      <c r="G1254" s="98"/>
    </row>
    <row r="1255" spans="7:7" x14ac:dyDescent="0.3">
      <c r="G1255" s="98"/>
    </row>
    <row r="1256" spans="7:7" x14ac:dyDescent="0.3">
      <c r="G1256" s="98"/>
    </row>
    <row r="1257" spans="7:7" x14ac:dyDescent="0.3">
      <c r="G1257" s="98"/>
    </row>
    <row r="1258" spans="7:7" x14ac:dyDescent="0.3">
      <c r="G1258" s="98"/>
    </row>
    <row r="1259" spans="7:7" x14ac:dyDescent="0.3">
      <c r="G1259" s="98"/>
    </row>
    <row r="1260" spans="7:7" x14ac:dyDescent="0.3">
      <c r="G1260" s="98"/>
    </row>
    <row r="1261" spans="7:7" x14ac:dyDescent="0.3">
      <c r="G1261" s="98"/>
    </row>
    <row r="1262" spans="7:7" x14ac:dyDescent="0.3">
      <c r="G1262" s="98"/>
    </row>
    <row r="1263" spans="7:7" x14ac:dyDescent="0.3">
      <c r="G1263" s="98"/>
    </row>
    <row r="1264" spans="7:7" x14ac:dyDescent="0.3">
      <c r="G1264" s="98"/>
    </row>
    <row r="1265" spans="7:7" x14ac:dyDescent="0.3">
      <c r="G1265" s="98"/>
    </row>
    <row r="1266" spans="7:7" x14ac:dyDescent="0.3">
      <c r="G1266" s="98"/>
    </row>
    <row r="1267" spans="7:7" x14ac:dyDescent="0.3">
      <c r="G1267" s="98"/>
    </row>
    <row r="1268" spans="7:7" x14ac:dyDescent="0.3">
      <c r="G1268" s="98"/>
    </row>
    <row r="1269" spans="7:7" x14ac:dyDescent="0.3">
      <c r="G1269" s="98"/>
    </row>
    <row r="1270" spans="7:7" x14ac:dyDescent="0.3">
      <c r="G1270" s="98"/>
    </row>
    <row r="1271" spans="7:7" x14ac:dyDescent="0.3">
      <c r="G1271" s="98"/>
    </row>
    <row r="1272" spans="7:7" x14ac:dyDescent="0.3">
      <c r="G1272" s="98"/>
    </row>
    <row r="1273" spans="7:7" x14ac:dyDescent="0.3">
      <c r="G1273" s="98"/>
    </row>
    <row r="1274" spans="7:7" x14ac:dyDescent="0.3">
      <c r="G1274" s="98"/>
    </row>
    <row r="1275" spans="7:7" x14ac:dyDescent="0.3">
      <c r="G1275" s="98"/>
    </row>
    <row r="1276" spans="7:7" x14ac:dyDescent="0.3">
      <c r="G1276" s="98"/>
    </row>
    <row r="1277" spans="7:7" x14ac:dyDescent="0.3">
      <c r="G1277" s="98"/>
    </row>
    <row r="1278" spans="7:7" x14ac:dyDescent="0.3">
      <c r="G1278" s="98"/>
    </row>
    <row r="1279" spans="7:7" x14ac:dyDescent="0.3">
      <c r="G1279" s="98"/>
    </row>
    <row r="1280" spans="7:7" x14ac:dyDescent="0.3">
      <c r="G1280" s="98"/>
    </row>
    <row r="1281" spans="7:7" x14ac:dyDescent="0.3">
      <c r="G1281" s="98"/>
    </row>
    <row r="1282" spans="7:7" x14ac:dyDescent="0.3">
      <c r="G1282" s="98"/>
    </row>
    <row r="1283" spans="7:7" x14ac:dyDescent="0.3">
      <c r="G1283" s="98"/>
    </row>
    <row r="1284" spans="7:7" x14ac:dyDescent="0.3">
      <c r="G1284" s="98"/>
    </row>
    <row r="1285" spans="7:7" x14ac:dyDescent="0.3">
      <c r="G1285" s="98"/>
    </row>
    <row r="1286" spans="7:7" x14ac:dyDescent="0.3">
      <c r="G1286" s="98"/>
    </row>
    <row r="1287" spans="7:7" x14ac:dyDescent="0.3">
      <c r="G1287" s="98"/>
    </row>
    <row r="1288" spans="7:7" x14ac:dyDescent="0.3">
      <c r="G1288" s="98"/>
    </row>
    <row r="1289" spans="7:7" x14ac:dyDescent="0.3">
      <c r="G1289" s="98"/>
    </row>
    <row r="1290" spans="7:7" x14ac:dyDescent="0.3">
      <c r="G1290" s="98"/>
    </row>
    <row r="1291" spans="7:7" x14ac:dyDescent="0.3">
      <c r="G1291" s="98"/>
    </row>
    <row r="1292" spans="7:7" x14ac:dyDescent="0.3">
      <c r="G1292" s="98"/>
    </row>
    <row r="1293" spans="7:7" x14ac:dyDescent="0.3">
      <c r="G1293" s="98"/>
    </row>
    <row r="1294" spans="7:7" x14ac:dyDescent="0.3">
      <c r="G1294" s="98"/>
    </row>
    <row r="1295" spans="7:7" x14ac:dyDescent="0.3">
      <c r="G1295" s="98"/>
    </row>
    <row r="1296" spans="7:7" x14ac:dyDescent="0.3">
      <c r="G1296" s="98"/>
    </row>
    <row r="1297" spans="7:7" x14ac:dyDescent="0.3">
      <c r="G1297" s="98"/>
    </row>
    <row r="1298" spans="7:7" x14ac:dyDescent="0.3">
      <c r="G1298" s="98"/>
    </row>
    <row r="1299" spans="7:7" x14ac:dyDescent="0.3">
      <c r="G1299" s="98"/>
    </row>
    <row r="1300" spans="7:7" x14ac:dyDescent="0.3">
      <c r="G1300" s="98"/>
    </row>
    <row r="1301" spans="7:7" x14ac:dyDescent="0.3">
      <c r="G1301" s="98"/>
    </row>
    <row r="1302" spans="7:7" x14ac:dyDescent="0.3">
      <c r="G1302" s="98"/>
    </row>
    <row r="1303" spans="7:7" x14ac:dyDescent="0.3">
      <c r="G1303" s="98"/>
    </row>
    <row r="1304" spans="7:7" x14ac:dyDescent="0.3">
      <c r="G1304" s="98"/>
    </row>
    <row r="1305" spans="7:7" x14ac:dyDescent="0.3">
      <c r="G1305" s="98"/>
    </row>
    <row r="1306" spans="7:7" x14ac:dyDescent="0.3">
      <c r="G1306" s="98"/>
    </row>
    <row r="1307" spans="7:7" x14ac:dyDescent="0.3">
      <c r="G1307" s="98"/>
    </row>
    <row r="1308" spans="7:7" x14ac:dyDescent="0.3">
      <c r="G1308" s="98"/>
    </row>
    <row r="1309" spans="7:7" x14ac:dyDescent="0.3">
      <c r="G1309" s="98"/>
    </row>
    <row r="1310" spans="7:7" x14ac:dyDescent="0.3">
      <c r="G1310" s="98"/>
    </row>
    <row r="1311" spans="7:7" x14ac:dyDescent="0.3">
      <c r="G1311" s="98"/>
    </row>
    <row r="1312" spans="7:7" x14ac:dyDescent="0.3">
      <c r="G1312" s="98"/>
    </row>
    <row r="1313" spans="7:7" x14ac:dyDescent="0.3">
      <c r="G1313" s="98"/>
    </row>
    <row r="1314" spans="7:7" x14ac:dyDescent="0.3">
      <c r="G1314" s="98"/>
    </row>
    <row r="1315" spans="7:7" x14ac:dyDescent="0.3">
      <c r="G1315" s="98"/>
    </row>
    <row r="1316" spans="7:7" x14ac:dyDescent="0.3">
      <c r="G1316" s="98"/>
    </row>
    <row r="1317" spans="7:7" x14ac:dyDescent="0.3">
      <c r="G1317" s="98"/>
    </row>
    <row r="1318" spans="7:7" x14ac:dyDescent="0.3">
      <c r="G1318" s="98"/>
    </row>
    <row r="1319" spans="7:7" x14ac:dyDescent="0.3">
      <c r="G1319" s="98"/>
    </row>
    <row r="1320" spans="7:7" x14ac:dyDescent="0.3">
      <c r="G1320" s="98"/>
    </row>
    <row r="1321" spans="7:7" x14ac:dyDescent="0.3">
      <c r="G1321" s="98"/>
    </row>
    <row r="1322" spans="7:7" x14ac:dyDescent="0.3">
      <c r="G1322" s="98"/>
    </row>
    <row r="1323" spans="7:7" x14ac:dyDescent="0.3">
      <c r="G1323" s="98"/>
    </row>
    <row r="1324" spans="7:7" x14ac:dyDescent="0.3">
      <c r="G1324" s="98"/>
    </row>
    <row r="1325" spans="7:7" x14ac:dyDescent="0.3">
      <c r="G1325" s="98"/>
    </row>
    <row r="1326" spans="7:7" x14ac:dyDescent="0.3">
      <c r="G1326" s="98"/>
    </row>
    <row r="1327" spans="7:7" x14ac:dyDescent="0.3">
      <c r="G1327" s="98"/>
    </row>
    <row r="1328" spans="7:7" x14ac:dyDescent="0.3">
      <c r="G1328" s="98"/>
    </row>
    <row r="1329" spans="7:7" x14ac:dyDescent="0.3">
      <c r="G1329" s="98"/>
    </row>
    <row r="1330" spans="7:7" x14ac:dyDescent="0.3">
      <c r="G1330" s="98"/>
    </row>
    <row r="1331" spans="7:7" x14ac:dyDescent="0.3">
      <c r="G1331" s="98"/>
    </row>
    <row r="1332" spans="7:7" x14ac:dyDescent="0.3">
      <c r="G1332" s="98"/>
    </row>
    <row r="1333" spans="7:7" x14ac:dyDescent="0.3">
      <c r="G1333" s="98"/>
    </row>
    <row r="1334" spans="7:7" x14ac:dyDescent="0.3">
      <c r="G1334" s="98"/>
    </row>
    <row r="1335" spans="7:7" x14ac:dyDescent="0.3">
      <c r="G1335" s="98"/>
    </row>
    <row r="1336" spans="7:7" x14ac:dyDescent="0.3">
      <c r="G1336" s="98"/>
    </row>
    <row r="1337" spans="7:7" x14ac:dyDescent="0.3">
      <c r="G1337" s="98"/>
    </row>
    <row r="1338" spans="7:7" x14ac:dyDescent="0.3">
      <c r="G1338" s="98"/>
    </row>
    <row r="1339" spans="7:7" x14ac:dyDescent="0.3">
      <c r="G1339" s="98"/>
    </row>
    <row r="1340" spans="7:7" x14ac:dyDescent="0.3">
      <c r="G1340" s="98"/>
    </row>
    <row r="1341" spans="7:7" x14ac:dyDescent="0.3">
      <c r="G1341" s="98"/>
    </row>
    <row r="1342" spans="7:7" x14ac:dyDescent="0.3">
      <c r="G1342" s="98"/>
    </row>
    <row r="1343" spans="7:7" x14ac:dyDescent="0.3">
      <c r="G1343" s="98"/>
    </row>
    <row r="1344" spans="7:7" x14ac:dyDescent="0.3">
      <c r="G1344" s="98"/>
    </row>
    <row r="1345" spans="7:7" x14ac:dyDescent="0.3">
      <c r="G1345" s="98"/>
    </row>
    <row r="1346" spans="7:7" x14ac:dyDescent="0.3">
      <c r="G1346" s="98"/>
    </row>
    <row r="1347" spans="7:7" x14ac:dyDescent="0.3">
      <c r="G1347" s="98"/>
    </row>
    <row r="1348" spans="7:7" x14ac:dyDescent="0.3">
      <c r="G1348" s="98"/>
    </row>
    <row r="1349" spans="7:7" x14ac:dyDescent="0.3">
      <c r="G1349" s="98"/>
    </row>
    <row r="1350" spans="7:7" x14ac:dyDescent="0.3">
      <c r="G1350" s="98"/>
    </row>
    <row r="1351" spans="7:7" x14ac:dyDescent="0.3">
      <c r="G1351" s="98"/>
    </row>
    <row r="1352" spans="7:7" x14ac:dyDescent="0.3">
      <c r="G1352" s="98"/>
    </row>
    <row r="1353" spans="7:7" x14ac:dyDescent="0.3">
      <c r="G1353" s="98"/>
    </row>
    <row r="1354" spans="7:7" x14ac:dyDescent="0.3">
      <c r="G1354" s="98"/>
    </row>
    <row r="1355" spans="7:7" x14ac:dyDescent="0.3">
      <c r="G1355" s="98"/>
    </row>
    <row r="1356" spans="7:7" x14ac:dyDescent="0.3">
      <c r="G1356" s="98"/>
    </row>
    <row r="1357" spans="7:7" x14ac:dyDescent="0.3">
      <c r="G1357" s="98"/>
    </row>
    <row r="1358" spans="7:7" x14ac:dyDescent="0.3">
      <c r="G1358" s="98"/>
    </row>
    <row r="1359" spans="7:7" x14ac:dyDescent="0.3">
      <c r="G1359" s="98"/>
    </row>
    <row r="1360" spans="7:7" x14ac:dyDescent="0.3">
      <c r="G1360" s="98"/>
    </row>
    <row r="1361" spans="7:7" x14ac:dyDescent="0.3">
      <c r="G1361" s="98"/>
    </row>
    <row r="1362" spans="7:7" x14ac:dyDescent="0.3">
      <c r="G1362" s="98"/>
    </row>
    <row r="1363" spans="7:7" x14ac:dyDescent="0.3">
      <c r="G1363" s="98"/>
    </row>
    <row r="1364" spans="7:7" x14ac:dyDescent="0.3">
      <c r="G1364" s="98"/>
    </row>
    <row r="1365" spans="7:7" x14ac:dyDescent="0.3">
      <c r="G1365" s="98"/>
    </row>
    <row r="1366" spans="7:7" x14ac:dyDescent="0.3">
      <c r="G1366" s="98"/>
    </row>
    <row r="1367" spans="7:7" x14ac:dyDescent="0.3">
      <c r="G1367" s="98"/>
    </row>
    <row r="1368" spans="7:7" x14ac:dyDescent="0.3">
      <c r="G1368" s="98"/>
    </row>
    <row r="1369" spans="7:7" x14ac:dyDescent="0.3">
      <c r="G1369" s="98"/>
    </row>
    <row r="1370" spans="7:7" x14ac:dyDescent="0.3">
      <c r="G1370" s="98"/>
    </row>
    <row r="1371" spans="7:7" x14ac:dyDescent="0.3">
      <c r="G1371" s="98"/>
    </row>
    <row r="1372" spans="7:7" x14ac:dyDescent="0.3">
      <c r="G1372" s="98"/>
    </row>
    <row r="1373" spans="7:7" x14ac:dyDescent="0.3">
      <c r="G1373" s="98"/>
    </row>
    <row r="1374" spans="7:7" x14ac:dyDescent="0.3">
      <c r="G1374" s="98"/>
    </row>
    <row r="1375" spans="7:7" x14ac:dyDescent="0.3">
      <c r="G1375" s="98"/>
    </row>
    <row r="1376" spans="7:7" x14ac:dyDescent="0.3">
      <c r="G1376" s="98"/>
    </row>
    <row r="1377" spans="7:7" x14ac:dyDescent="0.3">
      <c r="G1377" s="98"/>
    </row>
    <row r="1378" spans="7:7" x14ac:dyDescent="0.3">
      <c r="G1378" s="98"/>
    </row>
    <row r="1379" spans="7:7" x14ac:dyDescent="0.3">
      <c r="G1379" s="98"/>
    </row>
    <row r="1380" spans="7:7" x14ac:dyDescent="0.3">
      <c r="G1380" s="98"/>
    </row>
    <row r="1381" spans="7:7" x14ac:dyDescent="0.3">
      <c r="G1381" s="98"/>
    </row>
    <row r="1382" spans="7:7" x14ac:dyDescent="0.3">
      <c r="G1382" s="98"/>
    </row>
    <row r="1383" spans="7:7" x14ac:dyDescent="0.3">
      <c r="G1383" s="98"/>
    </row>
    <row r="1384" spans="7:7" x14ac:dyDescent="0.3">
      <c r="G1384" s="98"/>
    </row>
    <row r="1385" spans="7:7" x14ac:dyDescent="0.3">
      <c r="G1385" s="98"/>
    </row>
    <row r="1386" spans="7:7" x14ac:dyDescent="0.3">
      <c r="G1386" s="98"/>
    </row>
    <row r="1387" spans="7:7" x14ac:dyDescent="0.3">
      <c r="G1387" s="98"/>
    </row>
    <row r="1388" spans="7:7" x14ac:dyDescent="0.3">
      <c r="G1388" s="98"/>
    </row>
    <row r="1389" spans="7:7" x14ac:dyDescent="0.3">
      <c r="G1389" s="98"/>
    </row>
    <row r="1390" spans="7:7" x14ac:dyDescent="0.3">
      <c r="G1390" s="98"/>
    </row>
    <row r="1391" spans="7:7" x14ac:dyDescent="0.3">
      <c r="G1391" s="98"/>
    </row>
    <row r="1392" spans="7:7" x14ac:dyDescent="0.3">
      <c r="G1392" s="98"/>
    </row>
    <row r="1393" spans="7:7" x14ac:dyDescent="0.3">
      <c r="G1393" s="98"/>
    </row>
    <row r="1394" spans="7:7" x14ac:dyDescent="0.3">
      <c r="G1394" s="98"/>
    </row>
    <row r="1395" spans="7:7" x14ac:dyDescent="0.3">
      <c r="G1395" s="98"/>
    </row>
    <row r="1396" spans="7:7" x14ac:dyDescent="0.3">
      <c r="G1396" s="98"/>
    </row>
    <row r="1397" spans="7:7" x14ac:dyDescent="0.3">
      <c r="G1397" s="98"/>
    </row>
    <row r="1398" spans="7:7" x14ac:dyDescent="0.3">
      <c r="G1398" s="98"/>
    </row>
    <row r="1399" spans="7:7" x14ac:dyDescent="0.3">
      <c r="G1399" s="98"/>
    </row>
    <row r="1400" spans="7:7" x14ac:dyDescent="0.3">
      <c r="G1400" s="98"/>
    </row>
    <row r="1401" spans="7:7" x14ac:dyDescent="0.3">
      <c r="G1401" s="98"/>
    </row>
    <row r="1402" spans="7:7" x14ac:dyDescent="0.3">
      <c r="G1402" s="98"/>
    </row>
    <row r="1403" spans="7:7" x14ac:dyDescent="0.3">
      <c r="G1403" s="98"/>
    </row>
    <row r="1404" spans="7:7" x14ac:dyDescent="0.3">
      <c r="G1404" s="98"/>
    </row>
    <row r="1405" spans="7:7" x14ac:dyDescent="0.3">
      <c r="G1405" s="98"/>
    </row>
    <row r="1406" spans="7:7" x14ac:dyDescent="0.3">
      <c r="G1406" s="98"/>
    </row>
    <row r="1407" spans="7:7" x14ac:dyDescent="0.3">
      <c r="G1407" s="98"/>
    </row>
    <row r="1408" spans="7:7" x14ac:dyDescent="0.3">
      <c r="G1408" s="98"/>
    </row>
    <row r="1409" spans="7:7" x14ac:dyDescent="0.3">
      <c r="G1409" s="98"/>
    </row>
    <row r="1410" spans="7:7" x14ac:dyDescent="0.3">
      <c r="G1410" s="98"/>
    </row>
    <row r="1411" spans="7:7" x14ac:dyDescent="0.3">
      <c r="G1411" s="98"/>
    </row>
    <row r="1412" spans="7:7" x14ac:dyDescent="0.3">
      <c r="G1412" s="98"/>
    </row>
    <row r="1413" spans="7:7" x14ac:dyDescent="0.3">
      <c r="G1413" s="98"/>
    </row>
    <row r="1414" spans="7:7" x14ac:dyDescent="0.3">
      <c r="G1414" s="98"/>
    </row>
    <row r="1415" spans="7:7" x14ac:dyDescent="0.3">
      <c r="G1415" s="98"/>
    </row>
    <row r="1416" spans="7:7" x14ac:dyDescent="0.3">
      <c r="G1416" s="98"/>
    </row>
    <row r="1417" spans="7:7" x14ac:dyDescent="0.3">
      <c r="G1417" s="98"/>
    </row>
    <row r="1418" spans="7:7" x14ac:dyDescent="0.3">
      <c r="G1418" s="98"/>
    </row>
    <row r="1419" spans="7:7" x14ac:dyDescent="0.3">
      <c r="G1419" s="98"/>
    </row>
    <row r="1420" spans="7:7" x14ac:dyDescent="0.3">
      <c r="G1420" s="98"/>
    </row>
    <row r="1421" spans="7:7" x14ac:dyDescent="0.3">
      <c r="G1421" s="98"/>
    </row>
    <row r="1422" spans="7:7" x14ac:dyDescent="0.3">
      <c r="G1422" s="98"/>
    </row>
    <row r="1423" spans="7:7" x14ac:dyDescent="0.3">
      <c r="G1423" s="98"/>
    </row>
    <row r="1424" spans="7:7" x14ac:dyDescent="0.3">
      <c r="G1424" s="98"/>
    </row>
    <row r="1425" spans="7:7" x14ac:dyDescent="0.3">
      <c r="G1425" s="98"/>
    </row>
    <row r="1426" spans="7:7" x14ac:dyDescent="0.3">
      <c r="G1426" s="98"/>
    </row>
    <row r="1427" spans="7:7" x14ac:dyDescent="0.3">
      <c r="G1427" s="98"/>
    </row>
    <row r="1428" spans="7:7" x14ac:dyDescent="0.3">
      <c r="G1428" s="98"/>
    </row>
    <row r="1429" spans="7:7" x14ac:dyDescent="0.3">
      <c r="G1429" s="98"/>
    </row>
    <row r="1430" spans="7:7" x14ac:dyDescent="0.3">
      <c r="G1430" s="98"/>
    </row>
    <row r="1431" spans="7:7" x14ac:dyDescent="0.3">
      <c r="G1431" s="98"/>
    </row>
    <row r="1432" spans="7:7" x14ac:dyDescent="0.3">
      <c r="G1432" s="98"/>
    </row>
    <row r="1433" spans="7:7" x14ac:dyDescent="0.3">
      <c r="G1433" s="98"/>
    </row>
    <row r="1434" spans="7:7" x14ac:dyDescent="0.3">
      <c r="G1434" s="98"/>
    </row>
    <row r="1435" spans="7:7" x14ac:dyDescent="0.3">
      <c r="G1435" s="98"/>
    </row>
    <row r="1436" spans="7:7" x14ac:dyDescent="0.3">
      <c r="G1436" s="98"/>
    </row>
    <row r="1437" spans="7:7" x14ac:dyDescent="0.3">
      <c r="G1437" s="98"/>
    </row>
    <row r="1438" spans="7:7" x14ac:dyDescent="0.3">
      <c r="G1438" s="98"/>
    </row>
    <row r="1439" spans="7:7" x14ac:dyDescent="0.3">
      <c r="G1439" s="98"/>
    </row>
    <row r="1440" spans="7:7" x14ac:dyDescent="0.3">
      <c r="G1440" s="98"/>
    </row>
    <row r="1441" spans="7:7" x14ac:dyDescent="0.3">
      <c r="G1441" s="98"/>
    </row>
    <row r="1442" spans="7:7" x14ac:dyDescent="0.3">
      <c r="G1442" s="98"/>
    </row>
    <row r="1443" spans="7:7" x14ac:dyDescent="0.3">
      <c r="G1443" s="98"/>
    </row>
    <row r="1444" spans="7:7" x14ac:dyDescent="0.3">
      <c r="G1444" s="98"/>
    </row>
    <row r="1445" spans="7:7" x14ac:dyDescent="0.3">
      <c r="G1445" s="98"/>
    </row>
    <row r="1446" spans="7:7" x14ac:dyDescent="0.3">
      <c r="G1446" s="98"/>
    </row>
    <row r="1447" spans="7:7" x14ac:dyDescent="0.3">
      <c r="G1447" s="98"/>
    </row>
    <row r="1448" spans="7:7" x14ac:dyDescent="0.3">
      <c r="G1448" s="98"/>
    </row>
    <row r="1449" spans="7:7" x14ac:dyDescent="0.3">
      <c r="G1449" s="98"/>
    </row>
    <row r="1450" spans="7:7" x14ac:dyDescent="0.3">
      <c r="G1450" s="98"/>
    </row>
    <row r="1451" spans="7:7" x14ac:dyDescent="0.3">
      <c r="G1451" s="98"/>
    </row>
    <row r="1452" spans="7:7" x14ac:dyDescent="0.3">
      <c r="G1452" s="98"/>
    </row>
    <row r="1453" spans="7:7" x14ac:dyDescent="0.3">
      <c r="G1453" s="98"/>
    </row>
    <row r="1454" spans="7:7" x14ac:dyDescent="0.3">
      <c r="G1454" s="98"/>
    </row>
    <row r="1455" spans="7:7" x14ac:dyDescent="0.3">
      <c r="G1455" s="98"/>
    </row>
    <row r="1456" spans="7:7" x14ac:dyDescent="0.3">
      <c r="G1456" s="98"/>
    </row>
    <row r="1457" spans="7:7" x14ac:dyDescent="0.3">
      <c r="G1457" s="98"/>
    </row>
    <row r="1458" spans="7:7" x14ac:dyDescent="0.3">
      <c r="G1458" s="98"/>
    </row>
    <row r="1459" spans="7:7" x14ac:dyDescent="0.3">
      <c r="G1459" s="98"/>
    </row>
    <row r="1460" spans="7:7" x14ac:dyDescent="0.3">
      <c r="G1460" s="98"/>
    </row>
    <row r="1461" spans="7:7" x14ac:dyDescent="0.3">
      <c r="G1461" s="98"/>
    </row>
    <row r="1462" spans="7:7" x14ac:dyDescent="0.3">
      <c r="G1462" s="98"/>
    </row>
    <row r="1463" spans="7:7" x14ac:dyDescent="0.3">
      <c r="G1463" s="98"/>
    </row>
    <row r="1464" spans="7:7" x14ac:dyDescent="0.3">
      <c r="G1464" s="98"/>
    </row>
    <row r="1465" spans="7:7" x14ac:dyDescent="0.3">
      <c r="G1465" s="98"/>
    </row>
    <row r="1466" spans="7:7" x14ac:dyDescent="0.3">
      <c r="G1466" s="98"/>
    </row>
    <row r="1467" spans="7:7" x14ac:dyDescent="0.3">
      <c r="G1467" s="98"/>
    </row>
    <row r="1468" spans="7:7" x14ac:dyDescent="0.3">
      <c r="G1468" s="98"/>
    </row>
    <row r="1469" spans="7:7" x14ac:dyDescent="0.3">
      <c r="G1469" s="98"/>
    </row>
    <row r="1470" spans="7:7" x14ac:dyDescent="0.3">
      <c r="G1470" s="98"/>
    </row>
    <row r="1471" spans="7:7" x14ac:dyDescent="0.3">
      <c r="G1471" s="98"/>
    </row>
    <row r="1472" spans="7:7" x14ac:dyDescent="0.3">
      <c r="G1472" s="98"/>
    </row>
    <row r="1473" spans="7:7" x14ac:dyDescent="0.3">
      <c r="G1473" s="98"/>
    </row>
    <row r="1474" spans="7:7" x14ac:dyDescent="0.3">
      <c r="G1474" s="98"/>
    </row>
    <row r="1475" spans="7:7" x14ac:dyDescent="0.3">
      <c r="G1475" s="98"/>
    </row>
    <row r="1476" spans="7:7" x14ac:dyDescent="0.3">
      <c r="G1476" s="98"/>
    </row>
    <row r="1477" spans="7:7" x14ac:dyDescent="0.3">
      <c r="G1477" s="98"/>
    </row>
    <row r="1478" spans="7:7" x14ac:dyDescent="0.3">
      <c r="G1478" s="98"/>
    </row>
    <row r="1479" spans="7:7" x14ac:dyDescent="0.3">
      <c r="G1479" s="98"/>
    </row>
    <row r="1480" spans="7:7" x14ac:dyDescent="0.3">
      <c r="G1480" s="98"/>
    </row>
    <row r="1481" spans="7:7" x14ac:dyDescent="0.3">
      <c r="G1481" s="98"/>
    </row>
    <row r="1482" spans="7:7" x14ac:dyDescent="0.3">
      <c r="G1482" s="98"/>
    </row>
    <row r="1483" spans="7:7" x14ac:dyDescent="0.3">
      <c r="G1483" s="98"/>
    </row>
    <row r="1484" spans="7:7" x14ac:dyDescent="0.3">
      <c r="G1484" s="98"/>
    </row>
    <row r="1485" spans="7:7" x14ac:dyDescent="0.3">
      <c r="G1485" s="98"/>
    </row>
    <row r="1486" spans="7:7" x14ac:dyDescent="0.3">
      <c r="G1486" s="98"/>
    </row>
    <row r="1487" spans="7:7" x14ac:dyDescent="0.3">
      <c r="G1487" s="98"/>
    </row>
    <row r="1488" spans="7:7" x14ac:dyDescent="0.3">
      <c r="G1488" s="98"/>
    </row>
    <row r="1489" spans="7:7" x14ac:dyDescent="0.3">
      <c r="G1489" s="98"/>
    </row>
    <row r="1490" spans="7:7" x14ac:dyDescent="0.3">
      <c r="G1490" s="98"/>
    </row>
    <row r="1491" spans="7:7" x14ac:dyDescent="0.3">
      <c r="G1491" s="98"/>
    </row>
    <row r="1492" spans="7:7" x14ac:dyDescent="0.3">
      <c r="G1492" s="98"/>
    </row>
    <row r="1493" spans="7:7" x14ac:dyDescent="0.3">
      <c r="G1493" s="98"/>
    </row>
    <row r="1494" spans="7:7" x14ac:dyDescent="0.3">
      <c r="G1494" s="98"/>
    </row>
    <row r="1495" spans="7:7" x14ac:dyDescent="0.3">
      <c r="G1495" s="98"/>
    </row>
    <row r="1496" spans="7:7" x14ac:dyDescent="0.3">
      <c r="G1496" s="98"/>
    </row>
    <row r="1497" spans="7:7" x14ac:dyDescent="0.3">
      <c r="G1497" s="98"/>
    </row>
    <row r="1498" spans="7:7" x14ac:dyDescent="0.3">
      <c r="G1498" s="98"/>
    </row>
    <row r="1499" spans="7:7" x14ac:dyDescent="0.3">
      <c r="G1499" s="98"/>
    </row>
    <row r="1500" spans="7:7" x14ac:dyDescent="0.3">
      <c r="G1500" s="98"/>
    </row>
    <row r="1501" spans="7:7" x14ac:dyDescent="0.3">
      <c r="G1501" s="98"/>
    </row>
    <row r="1502" spans="7:7" x14ac:dyDescent="0.3">
      <c r="G1502" s="98"/>
    </row>
    <row r="1503" spans="7:7" x14ac:dyDescent="0.3">
      <c r="G1503" s="98"/>
    </row>
    <row r="1504" spans="7:7" x14ac:dyDescent="0.3">
      <c r="G1504" s="98"/>
    </row>
    <row r="1505" spans="7:7" x14ac:dyDescent="0.3">
      <c r="G1505" s="98"/>
    </row>
    <row r="1506" spans="7:7" x14ac:dyDescent="0.3">
      <c r="G1506" s="98"/>
    </row>
    <row r="1507" spans="7:7" x14ac:dyDescent="0.3">
      <c r="G1507" s="98"/>
    </row>
    <row r="1508" spans="7:7" x14ac:dyDescent="0.3">
      <c r="G1508" s="98"/>
    </row>
    <row r="1509" spans="7:7" x14ac:dyDescent="0.3">
      <c r="G1509" s="98"/>
    </row>
    <row r="1510" spans="7:7" x14ac:dyDescent="0.3">
      <c r="G1510" s="98"/>
    </row>
    <row r="1511" spans="7:7" x14ac:dyDescent="0.3">
      <c r="G1511" s="98"/>
    </row>
    <row r="1512" spans="7:7" x14ac:dyDescent="0.3">
      <c r="G1512" s="98"/>
    </row>
    <row r="1513" spans="7:7" x14ac:dyDescent="0.3">
      <c r="G1513" s="98"/>
    </row>
    <row r="1514" spans="7:7" x14ac:dyDescent="0.3">
      <c r="G1514" s="98"/>
    </row>
    <row r="1515" spans="7:7" x14ac:dyDescent="0.3">
      <c r="G1515" s="98"/>
    </row>
    <row r="1516" spans="7:7" x14ac:dyDescent="0.3">
      <c r="G1516" s="98"/>
    </row>
    <row r="1517" spans="7:7" x14ac:dyDescent="0.3">
      <c r="G1517" s="98"/>
    </row>
    <row r="1518" spans="7:7" x14ac:dyDescent="0.3">
      <c r="G1518" s="98"/>
    </row>
    <row r="1519" spans="7:7" x14ac:dyDescent="0.3">
      <c r="G1519" s="98"/>
    </row>
    <row r="1520" spans="7:7" x14ac:dyDescent="0.3">
      <c r="G1520" s="98"/>
    </row>
    <row r="1521" spans="7:7" x14ac:dyDescent="0.3">
      <c r="G1521" s="98"/>
    </row>
    <row r="1522" spans="7:7" x14ac:dyDescent="0.3">
      <c r="G1522" s="98"/>
    </row>
    <row r="1523" spans="7:7" x14ac:dyDescent="0.3">
      <c r="G1523" s="98"/>
    </row>
    <row r="1524" spans="7:7" x14ac:dyDescent="0.3">
      <c r="G1524" s="98"/>
    </row>
    <row r="1525" spans="7:7" x14ac:dyDescent="0.3">
      <c r="G1525" s="98"/>
    </row>
    <row r="1526" spans="7:7" x14ac:dyDescent="0.3">
      <c r="G1526" s="98"/>
    </row>
    <row r="1527" spans="7:7" x14ac:dyDescent="0.3">
      <c r="G1527" s="98"/>
    </row>
    <row r="1528" spans="7:7" x14ac:dyDescent="0.3">
      <c r="G1528" s="98"/>
    </row>
    <row r="1529" spans="7:7" x14ac:dyDescent="0.3">
      <c r="G1529" s="98"/>
    </row>
    <row r="1530" spans="7:7" x14ac:dyDescent="0.3">
      <c r="G1530" s="98"/>
    </row>
    <row r="1531" spans="7:7" x14ac:dyDescent="0.3">
      <c r="G1531" s="98"/>
    </row>
    <row r="1532" spans="7:7" x14ac:dyDescent="0.3">
      <c r="G1532" s="98"/>
    </row>
    <row r="1533" spans="7:7" x14ac:dyDescent="0.3">
      <c r="G1533" s="98"/>
    </row>
    <row r="1534" spans="7:7" x14ac:dyDescent="0.3">
      <c r="G1534" s="98"/>
    </row>
    <row r="1535" spans="7:7" x14ac:dyDescent="0.3">
      <c r="G1535" s="98"/>
    </row>
    <row r="1536" spans="7:7" x14ac:dyDescent="0.3">
      <c r="G1536" s="98"/>
    </row>
    <row r="1537" spans="7:7" x14ac:dyDescent="0.3">
      <c r="G1537" s="98"/>
    </row>
    <row r="1538" spans="7:7" x14ac:dyDescent="0.3">
      <c r="G1538" s="98"/>
    </row>
    <row r="1539" spans="7:7" x14ac:dyDescent="0.3">
      <c r="G1539" s="98"/>
    </row>
    <row r="1540" spans="7:7" x14ac:dyDescent="0.3">
      <c r="G1540" s="98"/>
    </row>
    <row r="1541" spans="7:7" x14ac:dyDescent="0.3">
      <c r="G1541" s="98"/>
    </row>
    <row r="1542" spans="7:7" x14ac:dyDescent="0.3">
      <c r="G1542" s="98"/>
    </row>
    <row r="1543" spans="7:7" x14ac:dyDescent="0.3">
      <c r="G1543" s="98"/>
    </row>
    <row r="1544" spans="7:7" x14ac:dyDescent="0.3">
      <c r="G1544" s="98"/>
    </row>
    <row r="1545" spans="7:7" x14ac:dyDescent="0.3">
      <c r="G1545" s="98"/>
    </row>
    <row r="1546" spans="7:7" x14ac:dyDescent="0.3">
      <c r="G1546" s="98"/>
    </row>
    <row r="1547" spans="7:7" x14ac:dyDescent="0.3">
      <c r="G1547" s="98"/>
    </row>
    <row r="1548" spans="7:7" x14ac:dyDescent="0.3">
      <c r="G1548" s="98"/>
    </row>
    <row r="1549" spans="7:7" x14ac:dyDescent="0.3">
      <c r="G1549" s="98"/>
    </row>
    <row r="1550" spans="7:7" x14ac:dyDescent="0.3">
      <c r="G1550" s="98"/>
    </row>
    <row r="1551" spans="7:7" x14ac:dyDescent="0.3">
      <c r="G1551" s="98"/>
    </row>
    <row r="1552" spans="7:7" x14ac:dyDescent="0.3">
      <c r="G1552" s="98"/>
    </row>
    <row r="1553" spans="7:7" x14ac:dyDescent="0.3">
      <c r="G1553" s="98"/>
    </row>
    <row r="1554" spans="7:7" x14ac:dyDescent="0.3">
      <c r="G1554" s="98"/>
    </row>
    <row r="1555" spans="7:7" x14ac:dyDescent="0.3">
      <c r="G1555" s="98"/>
    </row>
    <row r="1556" spans="7:7" x14ac:dyDescent="0.3">
      <c r="G1556" s="98"/>
    </row>
    <row r="1557" spans="7:7" x14ac:dyDescent="0.3">
      <c r="G1557" s="98"/>
    </row>
    <row r="1558" spans="7:7" x14ac:dyDescent="0.3">
      <c r="G1558" s="98"/>
    </row>
    <row r="1559" spans="7:7" x14ac:dyDescent="0.3">
      <c r="G1559" s="98"/>
    </row>
    <row r="1560" spans="7:7" x14ac:dyDescent="0.3">
      <c r="G1560" s="98"/>
    </row>
    <row r="1561" spans="7:7" x14ac:dyDescent="0.3">
      <c r="G1561" s="98"/>
    </row>
    <row r="1562" spans="7:7" x14ac:dyDescent="0.3">
      <c r="G1562" s="98"/>
    </row>
    <row r="1563" spans="7:7" x14ac:dyDescent="0.3">
      <c r="G1563" s="98"/>
    </row>
    <row r="1564" spans="7:7" x14ac:dyDescent="0.3">
      <c r="G1564" s="98"/>
    </row>
    <row r="1565" spans="7:7" x14ac:dyDescent="0.3">
      <c r="G1565" s="98"/>
    </row>
    <row r="1566" spans="7:7" x14ac:dyDescent="0.3">
      <c r="G1566" s="98"/>
    </row>
    <row r="1567" spans="7:7" x14ac:dyDescent="0.3">
      <c r="G1567" s="98"/>
    </row>
    <row r="1568" spans="7:7" x14ac:dyDescent="0.3">
      <c r="G1568" s="98"/>
    </row>
    <row r="1569" spans="7:7" x14ac:dyDescent="0.3">
      <c r="G1569" s="98"/>
    </row>
    <row r="1570" spans="7:7" x14ac:dyDescent="0.3">
      <c r="G1570" s="98"/>
    </row>
    <row r="1571" spans="7:7" x14ac:dyDescent="0.3">
      <c r="G1571" s="98"/>
    </row>
    <row r="1572" spans="7:7" x14ac:dyDescent="0.3">
      <c r="G1572" s="98"/>
    </row>
    <row r="1573" spans="7:7" x14ac:dyDescent="0.3">
      <c r="G1573" s="98"/>
    </row>
    <row r="1574" spans="7:7" x14ac:dyDescent="0.3">
      <c r="G1574" s="98"/>
    </row>
    <row r="1575" spans="7:7" x14ac:dyDescent="0.3">
      <c r="G1575" s="98"/>
    </row>
    <row r="1576" spans="7:7" x14ac:dyDescent="0.3">
      <c r="G1576" s="98"/>
    </row>
    <row r="1577" spans="7:7" x14ac:dyDescent="0.3">
      <c r="G1577" s="98"/>
    </row>
    <row r="1578" spans="7:7" x14ac:dyDescent="0.3">
      <c r="G1578" s="98"/>
    </row>
    <row r="1579" spans="7:7" x14ac:dyDescent="0.3">
      <c r="G1579" s="98"/>
    </row>
    <row r="1580" spans="7:7" x14ac:dyDescent="0.3">
      <c r="G1580" s="98"/>
    </row>
    <row r="1581" spans="7:7" x14ac:dyDescent="0.3">
      <c r="G1581" s="98"/>
    </row>
    <row r="1582" spans="7:7" x14ac:dyDescent="0.3">
      <c r="G1582" s="98"/>
    </row>
    <row r="1583" spans="7:7" x14ac:dyDescent="0.3">
      <c r="G1583" s="98"/>
    </row>
    <row r="1584" spans="7:7" x14ac:dyDescent="0.3">
      <c r="G1584" s="98"/>
    </row>
    <row r="1585" spans="7:7" x14ac:dyDescent="0.3">
      <c r="G1585" s="98"/>
    </row>
    <row r="1586" spans="7:7" x14ac:dyDescent="0.3">
      <c r="G1586" s="98"/>
    </row>
    <row r="1587" spans="7:7" x14ac:dyDescent="0.3">
      <c r="G1587" s="98"/>
    </row>
    <row r="1588" spans="7:7" x14ac:dyDescent="0.3">
      <c r="G1588" s="98"/>
    </row>
    <row r="1589" spans="7:7" x14ac:dyDescent="0.3">
      <c r="G1589" s="98"/>
    </row>
    <row r="1590" spans="7:7" x14ac:dyDescent="0.3">
      <c r="G1590" s="98"/>
    </row>
    <row r="1591" spans="7:7" x14ac:dyDescent="0.3">
      <c r="G1591" s="98"/>
    </row>
    <row r="1592" spans="7:7" x14ac:dyDescent="0.3">
      <c r="G1592" s="98"/>
    </row>
    <row r="1593" spans="7:7" x14ac:dyDescent="0.3">
      <c r="G1593" s="98"/>
    </row>
    <row r="1594" spans="7:7" x14ac:dyDescent="0.3">
      <c r="G1594" s="98"/>
    </row>
    <row r="1595" spans="7:7" x14ac:dyDescent="0.3">
      <c r="G1595" s="98"/>
    </row>
    <row r="1596" spans="7:7" x14ac:dyDescent="0.3">
      <c r="G1596" s="98"/>
    </row>
    <row r="1597" spans="7:7" x14ac:dyDescent="0.3">
      <c r="G1597" s="98"/>
    </row>
    <row r="1598" spans="7:7" x14ac:dyDescent="0.3">
      <c r="G1598" s="98"/>
    </row>
    <row r="1599" spans="7:7" x14ac:dyDescent="0.3">
      <c r="G1599" s="98"/>
    </row>
    <row r="1600" spans="7:7" x14ac:dyDescent="0.3">
      <c r="G1600" s="98"/>
    </row>
    <row r="1601" spans="7:7" x14ac:dyDescent="0.3">
      <c r="G1601" s="98"/>
    </row>
    <row r="1602" spans="7:7" x14ac:dyDescent="0.3">
      <c r="G1602" s="98"/>
    </row>
    <row r="1603" spans="7:7" x14ac:dyDescent="0.3">
      <c r="G1603" s="98"/>
    </row>
    <row r="1604" spans="7:7" x14ac:dyDescent="0.3">
      <c r="G1604" s="98"/>
    </row>
    <row r="1605" spans="7:7" x14ac:dyDescent="0.3">
      <c r="G1605" s="98"/>
    </row>
    <row r="1606" spans="7:7" x14ac:dyDescent="0.3">
      <c r="G1606" s="98"/>
    </row>
    <row r="1607" spans="7:7" x14ac:dyDescent="0.3">
      <c r="G1607" s="98"/>
    </row>
    <row r="1608" spans="7:7" x14ac:dyDescent="0.3">
      <c r="G1608" s="98"/>
    </row>
    <row r="1609" spans="7:7" x14ac:dyDescent="0.3">
      <c r="G1609" s="98"/>
    </row>
    <row r="1610" spans="7:7" x14ac:dyDescent="0.3">
      <c r="G1610" s="98"/>
    </row>
    <row r="1611" spans="7:7" x14ac:dyDescent="0.3">
      <c r="G1611" s="98"/>
    </row>
    <row r="1612" spans="7:7" x14ac:dyDescent="0.3">
      <c r="G1612" s="98"/>
    </row>
    <row r="1613" spans="7:7" x14ac:dyDescent="0.3">
      <c r="G1613" s="98"/>
    </row>
    <row r="1614" spans="7:7" x14ac:dyDescent="0.3">
      <c r="G1614" s="98"/>
    </row>
    <row r="1615" spans="7:7" x14ac:dyDescent="0.3">
      <c r="G1615" s="98"/>
    </row>
    <row r="1616" spans="7:7" x14ac:dyDescent="0.3">
      <c r="G1616" s="98"/>
    </row>
    <row r="1617" spans="7:7" x14ac:dyDescent="0.3">
      <c r="G1617" s="98"/>
    </row>
    <row r="1618" spans="7:7" x14ac:dyDescent="0.3">
      <c r="G1618" s="98"/>
    </row>
    <row r="1619" spans="7:7" x14ac:dyDescent="0.3">
      <c r="G1619" s="98"/>
    </row>
    <row r="1620" spans="7:7" x14ac:dyDescent="0.3">
      <c r="G1620" s="98"/>
    </row>
    <row r="1621" spans="7:7" x14ac:dyDescent="0.3">
      <c r="G1621" s="98"/>
    </row>
    <row r="1622" spans="7:7" x14ac:dyDescent="0.3">
      <c r="G1622" s="98"/>
    </row>
    <row r="1623" spans="7:7" x14ac:dyDescent="0.3">
      <c r="G1623" s="98"/>
    </row>
    <row r="1624" spans="7:7" x14ac:dyDescent="0.3">
      <c r="G1624" s="98"/>
    </row>
    <row r="1625" spans="7:7" x14ac:dyDescent="0.3">
      <c r="G1625" s="98"/>
    </row>
    <row r="1626" spans="7:7" x14ac:dyDescent="0.3">
      <c r="G1626" s="98"/>
    </row>
    <row r="1627" spans="7:7" x14ac:dyDescent="0.3">
      <c r="G1627" s="98"/>
    </row>
    <row r="1628" spans="7:7" x14ac:dyDescent="0.3">
      <c r="G1628" s="98"/>
    </row>
    <row r="1629" spans="7:7" x14ac:dyDescent="0.3">
      <c r="G1629" s="98"/>
    </row>
    <row r="1630" spans="7:7" x14ac:dyDescent="0.3">
      <c r="G1630" s="98"/>
    </row>
    <row r="1631" spans="7:7" x14ac:dyDescent="0.3">
      <c r="G1631" s="98"/>
    </row>
    <row r="1632" spans="7:7" x14ac:dyDescent="0.3">
      <c r="G1632" s="98"/>
    </row>
    <row r="1633" spans="7:7" x14ac:dyDescent="0.3">
      <c r="G1633" s="98"/>
    </row>
    <row r="1634" spans="7:7" x14ac:dyDescent="0.3">
      <c r="G1634" s="98"/>
    </row>
    <row r="1635" spans="7:7" x14ac:dyDescent="0.3">
      <c r="G1635" s="98"/>
    </row>
    <row r="1636" spans="7:7" x14ac:dyDescent="0.3">
      <c r="G1636" s="98"/>
    </row>
    <row r="1637" spans="7:7" x14ac:dyDescent="0.3">
      <c r="G1637" s="98"/>
    </row>
    <row r="1638" spans="7:7" x14ac:dyDescent="0.3">
      <c r="G1638" s="98"/>
    </row>
    <row r="1639" spans="7:7" x14ac:dyDescent="0.3">
      <c r="G1639" s="98"/>
    </row>
    <row r="1640" spans="7:7" x14ac:dyDescent="0.3">
      <c r="G1640" s="98"/>
    </row>
    <row r="1641" spans="7:7" x14ac:dyDescent="0.3">
      <c r="G1641" s="98"/>
    </row>
    <row r="1642" spans="7:7" x14ac:dyDescent="0.3">
      <c r="G1642" s="98"/>
    </row>
    <row r="1643" spans="7:7" x14ac:dyDescent="0.3">
      <c r="G1643" s="98"/>
    </row>
    <row r="1644" spans="7:7" x14ac:dyDescent="0.3">
      <c r="G1644" s="98"/>
    </row>
    <row r="1645" spans="7:7" x14ac:dyDescent="0.3">
      <c r="G1645" s="98"/>
    </row>
    <row r="1646" spans="7:7" x14ac:dyDescent="0.3">
      <c r="G1646" s="98"/>
    </row>
    <row r="1647" spans="7:7" x14ac:dyDescent="0.3">
      <c r="G1647" s="98"/>
    </row>
    <row r="1648" spans="7:7" x14ac:dyDescent="0.3">
      <c r="G1648" s="98"/>
    </row>
    <row r="1649" spans="7:7" x14ac:dyDescent="0.3">
      <c r="G1649" s="98"/>
    </row>
    <row r="1650" spans="7:7" x14ac:dyDescent="0.3">
      <c r="G1650" s="98"/>
    </row>
    <row r="1651" spans="7:7" x14ac:dyDescent="0.3">
      <c r="G1651" s="98"/>
    </row>
    <row r="1652" spans="7:7" x14ac:dyDescent="0.3">
      <c r="G1652" s="98"/>
    </row>
    <row r="1653" spans="7:7" x14ac:dyDescent="0.3">
      <c r="G1653" s="98"/>
    </row>
    <row r="1654" spans="7:7" x14ac:dyDescent="0.3">
      <c r="G1654" s="98"/>
    </row>
    <row r="1655" spans="7:7" x14ac:dyDescent="0.3">
      <c r="G1655" s="98"/>
    </row>
    <row r="1656" spans="7:7" x14ac:dyDescent="0.3">
      <c r="G1656" s="98"/>
    </row>
    <row r="1657" spans="7:7" x14ac:dyDescent="0.3">
      <c r="G1657" s="98"/>
    </row>
    <row r="1658" spans="7:7" x14ac:dyDescent="0.3">
      <c r="G1658" s="98"/>
    </row>
    <row r="1659" spans="7:7" x14ac:dyDescent="0.3">
      <c r="G1659" s="98"/>
    </row>
    <row r="1660" spans="7:7" x14ac:dyDescent="0.3">
      <c r="G1660" s="98"/>
    </row>
    <row r="1661" spans="7:7" x14ac:dyDescent="0.3">
      <c r="G1661" s="98"/>
    </row>
    <row r="1662" spans="7:7" x14ac:dyDescent="0.3">
      <c r="G1662" s="98"/>
    </row>
    <row r="1663" spans="7:7" x14ac:dyDescent="0.3">
      <c r="G1663" s="98"/>
    </row>
    <row r="1664" spans="7:7" x14ac:dyDescent="0.3">
      <c r="G1664" s="98"/>
    </row>
    <row r="1665" spans="7:7" x14ac:dyDescent="0.3">
      <c r="G1665" s="98"/>
    </row>
    <row r="1666" spans="7:7" x14ac:dyDescent="0.3">
      <c r="G1666" s="98"/>
    </row>
    <row r="1667" spans="7:7" x14ac:dyDescent="0.3">
      <c r="G1667" s="98"/>
    </row>
    <row r="1668" spans="7:7" x14ac:dyDescent="0.3">
      <c r="G1668" s="98"/>
    </row>
    <row r="1669" spans="7:7" x14ac:dyDescent="0.3">
      <c r="G1669" s="98"/>
    </row>
    <row r="1670" spans="7:7" x14ac:dyDescent="0.3">
      <c r="G1670" s="98"/>
    </row>
    <row r="1671" spans="7:7" x14ac:dyDescent="0.3">
      <c r="G1671" s="98"/>
    </row>
    <row r="1672" spans="7:7" x14ac:dyDescent="0.3">
      <c r="G1672" s="98"/>
    </row>
    <row r="1673" spans="7:7" x14ac:dyDescent="0.3">
      <c r="G1673" s="98"/>
    </row>
    <row r="1674" spans="7:7" x14ac:dyDescent="0.3">
      <c r="G1674" s="98"/>
    </row>
    <row r="1675" spans="7:7" x14ac:dyDescent="0.3">
      <c r="G1675" s="98"/>
    </row>
    <row r="1676" spans="7:7" x14ac:dyDescent="0.3">
      <c r="G1676" s="98"/>
    </row>
    <row r="1677" spans="7:7" x14ac:dyDescent="0.3">
      <c r="G1677" s="98"/>
    </row>
    <row r="1678" spans="7:7" x14ac:dyDescent="0.3">
      <c r="G1678" s="98"/>
    </row>
    <row r="1679" spans="7:7" x14ac:dyDescent="0.3">
      <c r="G1679" s="98"/>
    </row>
    <row r="1680" spans="7:7" x14ac:dyDescent="0.3">
      <c r="G1680" s="98"/>
    </row>
    <row r="1681" spans="7:7" x14ac:dyDescent="0.3">
      <c r="G1681" s="98"/>
    </row>
    <row r="1682" spans="7:7" x14ac:dyDescent="0.3">
      <c r="G1682" s="98"/>
    </row>
    <row r="1683" spans="7:7" x14ac:dyDescent="0.3">
      <c r="G1683" s="98"/>
    </row>
    <row r="1684" spans="7:7" x14ac:dyDescent="0.3">
      <c r="G1684" s="98"/>
    </row>
    <row r="1685" spans="7:7" x14ac:dyDescent="0.3">
      <c r="G1685" s="98"/>
    </row>
    <row r="1686" spans="7:7" x14ac:dyDescent="0.3">
      <c r="G1686" s="98"/>
    </row>
    <row r="1687" spans="7:7" x14ac:dyDescent="0.3">
      <c r="G1687" s="98"/>
    </row>
    <row r="1688" spans="7:7" x14ac:dyDescent="0.3">
      <c r="G1688" s="98"/>
    </row>
    <row r="1689" spans="7:7" x14ac:dyDescent="0.3">
      <c r="G1689" s="98"/>
    </row>
    <row r="1690" spans="7:7" x14ac:dyDescent="0.3">
      <c r="G1690" s="98"/>
    </row>
    <row r="1691" spans="7:7" x14ac:dyDescent="0.3">
      <c r="G1691" s="98"/>
    </row>
    <row r="1692" spans="7:7" x14ac:dyDescent="0.3">
      <c r="G1692" s="98"/>
    </row>
    <row r="1693" spans="7:7" x14ac:dyDescent="0.3">
      <c r="G1693" s="98"/>
    </row>
    <row r="1694" spans="7:7" x14ac:dyDescent="0.3">
      <c r="G1694" s="98"/>
    </row>
    <row r="1695" spans="7:7" x14ac:dyDescent="0.3">
      <c r="G1695" s="98"/>
    </row>
    <row r="1696" spans="7:7" x14ac:dyDescent="0.3">
      <c r="G1696" s="98"/>
    </row>
    <row r="1697" spans="7:7" x14ac:dyDescent="0.3">
      <c r="G1697" s="98"/>
    </row>
    <row r="1698" spans="7:7" x14ac:dyDescent="0.3">
      <c r="G1698" s="98"/>
    </row>
    <row r="1699" spans="7:7" x14ac:dyDescent="0.3">
      <c r="G1699" s="98"/>
    </row>
    <row r="1700" spans="7:7" x14ac:dyDescent="0.3">
      <c r="G1700" s="98"/>
    </row>
    <row r="1701" spans="7:7" x14ac:dyDescent="0.3">
      <c r="G1701" s="98"/>
    </row>
    <row r="1702" spans="7:7" x14ac:dyDescent="0.3">
      <c r="G1702" s="98"/>
    </row>
    <row r="1703" spans="7:7" x14ac:dyDescent="0.3">
      <c r="G1703" s="98"/>
    </row>
    <row r="1704" spans="7:7" x14ac:dyDescent="0.3">
      <c r="G1704" s="98"/>
    </row>
    <row r="1705" spans="7:7" x14ac:dyDescent="0.3">
      <c r="G1705" s="98"/>
    </row>
    <row r="1706" spans="7:7" x14ac:dyDescent="0.3">
      <c r="G1706" s="98"/>
    </row>
    <row r="1707" spans="7:7" x14ac:dyDescent="0.3">
      <c r="G1707" s="98"/>
    </row>
    <row r="1708" spans="7:7" x14ac:dyDescent="0.3">
      <c r="G1708" s="98"/>
    </row>
    <row r="1709" spans="7:7" x14ac:dyDescent="0.3">
      <c r="G1709" s="98"/>
    </row>
    <row r="1710" spans="7:7" x14ac:dyDescent="0.3">
      <c r="G1710" s="98"/>
    </row>
    <row r="1711" spans="7:7" x14ac:dyDescent="0.3">
      <c r="G1711" s="98"/>
    </row>
    <row r="1712" spans="7:7" x14ac:dyDescent="0.3">
      <c r="G1712" s="98"/>
    </row>
    <row r="1713" spans="7:7" x14ac:dyDescent="0.3">
      <c r="G1713" s="98"/>
    </row>
    <row r="1714" spans="7:7" x14ac:dyDescent="0.3">
      <c r="G1714" s="98"/>
    </row>
    <row r="1715" spans="7:7" x14ac:dyDescent="0.3">
      <c r="G1715" s="98"/>
    </row>
    <row r="1716" spans="7:7" x14ac:dyDescent="0.3">
      <c r="G1716" s="98"/>
    </row>
    <row r="1717" spans="7:7" x14ac:dyDescent="0.3">
      <c r="G1717" s="98"/>
    </row>
    <row r="1718" spans="7:7" x14ac:dyDescent="0.3">
      <c r="G1718" s="98"/>
    </row>
    <row r="1719" spans="7:7" x14ac:dyDescent="0.3">
      <c r="G1719" s="98"/>
    </row>
    <row r="1720" spans="7:7" x14ac:dyDescent="0.3">
      <c r="G1720" s="98"/>
    </row>
    <row r="1721" spans="7:7" x14ac:dyDescent="0.3">
      <c r="G1721" s="98"/>
    </row>
    <row r="1722" spans="7:7" x14ac:dyDescent="0.3">
      <c r="G1722" s="98"/>
    </row>
    <row r="1723" spans="7:7" x14ac:dyDescent="0.3">
      <c r="G1723" s="98"/>
    </row>
    <row r="1724" spans="7:7" x14ac:dyDescent="0.3">
      <c r="G1724" s="98"/>
    </row>
    <row r="1725" spans="7:7" x14ac:dyDescent="0.3">
      <c r="G1725" s="98"/>
    </row>
    <row r="1726" spans="7:7" x14ac:dyDescent="0.3">
      <c r="G1726" s="98"/>
    </row>
    <row r="1727" spans="7:7" x14ac:dyDescent="0.3">
      <c r="G1727" s="98"/>
    </row>
    <row r="1728" spans="7:7" x14ac:dyDescent="0.3">
      <c r="G1728" s="98"/>
    </row>
    <row r="1729" spans="7:7" x14ac:dyDescent="0.3">
      <c r="G1729" s="98"/>
    </row>
    <row r="1730" spans="7:7" x14ac:dyDescent="0.3">
      <c r="G1730" s="98"/>
    </row>
    <row r="1731" spans="7:7" x14ac:dyDescent="0.3">
      <c r="G1731" s="98"/>
    </row>
    <row r="1732" spans="7:7" x14ac:dyDescent="0.3">
      <c r="G1732" s="98"/>
    </row>
    <row r="1733" spans="7:7" x14ac:dyDescent="0.3">
      <c r="G1733" s="98"/>
    </row>
    <row r="1734" spans="7:7" x14ac:dyDescent="0.3">
      <c r="G1734" s="98"/>
    </row>
    <row r="1735" spans="7:7" x14ac:dyDescent="0.3">
      <c r="G1735" s="98"/>
    </row>
    <row r="1736" spans="7:7" x14ac:dyDescent="0.3">
      <c r="G1736" s="98"/>
    </row>
    <row r="1737" spans="7:7" x14ac:dyDescent="0.3">
      <c r="G1737" s="98"/>
    </row>
    <row r="1738" spans="7:7" x14ac:dyDescent="0.3">
      <c r="G1738" s="98"/>
    </row>
    <row r="1739" spans="7:7" x14ac:dyDescent="0.3">
      <c r="G1739" s="98"/>
    </row>
    <row r="1740" spans="7:7" x14ac:dyDescent="0.3">
      <c r="G1740" s="98"/>
    </row>
    <row r="1741" spans="7:7" x14ac:dyDescent="0.3">
      <c r="G1741" s="98"/>
    </row>
    <row r="1742" spans="7:7" x14ac:dyDescent="0.3">
      <c r="G1742" s="98"/>
    </row>
    <row r="1743" spans="7:7" x14ac:dyDescent="0.3">
      <c r="G1743" s="98"/>
    </row>
    <row r="1744" spans="7:7" x14ac:dyDescent="0.3">
      <c r="G1744" s="98"/>
    </row>
    <row r="1745" spans="7:7" x14ac:dyDescent="0.3">
      <c r="G1745" s="98"/>
    </row>
    <row r="1746" spans="7:7" x14ac:dyDescent="0.3">
      <c r="G1746" s="98"/>
    </row>
    <row r="1747" spans="7:7" x14ac:dyDescent="0.3">
      <c r="G1747" s="98"/>
    </row>
    <row r="1748" spans="7:7" x14ac:dyDescent="0.3">
      <c r="G1748" s="98"/>
    </row>
    <row r="1749" spans="7:7" x14ac:dyDescent="0.3">
      <c r="G1749" s="98"/>
    </row>
    <row r="1750" spans="7:7" x14ac:dyDescent="0.3">
      <c r="G1750" s="98"/>
    </row>
    <row r="1751" spans="7:7" x14ac:dyDescent="0.3">
      <c r="G1751" s="98"/>
    </row>
    <row r="1752" spans="7:7" x14ac:dyDescent="0.3">
      <c r="G1752" s="98"/>
    </row>
    <row r="1753" spans="7:7" x14ac:dyDescent="0.3">
      <c r="G1753" s="98"/>
    </row>
    <row r="1754" spans="7:7" x14ac:dyDescent="0.3">
      <c r="G1754" s="98"/>
    </row>
    <row r="1755" spans="7:7" x14ac:dyDescent="0.3">
      <c r="G1755" s="98"/>
    </row>
    <row r="1756" spans="7:7" x14ac:dyDescent="0.3">
      <c r="G1756" s="98"/>
    </row>
    <row r="1757" spans="7:7" x14ac:dyDescent="0.3">
      <c r="G1757" s="98"/>
    </row>
    <row r="1758" spans="7:7" x14ac:dyDescent="0.3">
      <c r="G1758" s="98"/>
    </row>
    <row r="1759" spans="7:7" x14ac:dyDescent="0.3">
      <c r="G1759" s="98"/>
    </row>
    <row r="1760" spans="7:7" x14ac:dyDescent="0.3">
      <c r="G1760" s="98"/>
    </row>
    <row r="1761" spans="7:7" x14ac:dyDescent="0.3">
      <c r="G1761" s="98"/>
    </row>
    <row r="1762" spans="7:7" x14ac:dyDescent="0.3">
      <c r="G1762" s="98"/>
    </row>
    <row r="1763" spans="7:7" x14ac:dyDescent="0.3">
      <c r="G1763" s="98"/>
    </row>
    <row r="1764" spans="7:7" x14ac:dyDescent="0.3">
      <c r="G1764" s="98"/>
    </row>
    <row r="1765" spans="7:7" x14ac:dyDescent="0.3">
      <c r="G1765" s="98"/>
    </row>
    <row r="1766" spans="7:7" x14ac:dyDescent="0.3">
      <c r="G1766" s="98"/>
    </row>
    <row r="1767" spans="7:7" x14ac:dyDescent="0.3">
      <c r="G1767" s="98"/>
    </row>
    <row r="1768" spans="7:7" x14ac:dyDescent="0.3">
      <c r="G1768" s="98"/>
    </row>
    <row r="1769" spans="7:7" x14ac:dyDescent="0.3">
      <c r="G1769" s="98"/>
    </row>
    <row r="1770" spans="7:7" x14ac:dyDescent="0.3">
      <c r="G1770" s="98"/>
    </row>
    <row r="1771" spans="7:7" x14ac:dyDescent="0.3">
      <c r="G1771" s="98"/>
    </row>
    <row r="1772" spans="7:7" x14ac:dyDescent="0.3">
      <c r="G1772" s="98"/>
    </row>
    <row r="1773" spans="7:7" x14ac:dyDescent="0.3">
      <c r="G1773" s="98"/>
    </row>
    <row r="1774" spans="7:7" x14ac:dyDescent="0.3">
      <c r="G1774" s="98"/>
    </row>
    <row r="1775" spans="7:7" x14ac:dyDescent="0.3">
      <c r="G1775" s="98"/>
    </row>
    <row r="1776" spans="7:7" x14ac:dyDescent="0.3">
      <c r="G1776" s="98"/>
    </row>
    <row r="1777" spans="7:7" x14ac:dyDescent="0.3">
      <c r="G1777" s="98"/>
    </row>
    <row r="1778" spans="7:7" x14ac:dyDescent="0.3">
      <c r="G1778" s="98"/>
    </row>
    <row r="1779" spans="7:7" x14ac:dyDescent="0.3">
      <c r="G1779" s="98"/>
    </row>
    <row r="1780" spans="7:7" x14ac:dyDescent="0.3">
      <c r="G1780" s="98"/>
    </row>
    <row r="1781" spans="7:7" x14ac:dyDescent="0.3">
      <c r="G1781" s="98"/>
    </row>
    <row r="1782" spans="7:7" x14ac:dyDescent="0.3">
      <c r="G1782" s="98"/>
    </row>
    <row r="1783" spans="7:7" x14ac:dyDescent="0.3">
      <c r="G1783" s="98"/>
    </row>
    <row r="1784" spans="7:7" x14ac:dyDescent="0.3">
      <c r="G1784" s="98"/>
    </row>
    <row r="1785" spans="7:7" x14ac:dyDescent="0.3">
      <c r="G1785" s="98"/>
    </row>
    <row r="1786" spans="7:7" x14ac:dyDescent="0.3">
      <c r="G1786" s="98"/>
    </row>
    <row r="1787" spans="7:7" x14ac:dyDescent="0.3">
      <c r="G1787" s="98"/>
    </row>
    <row r="1788" spans="7:7" x14ac:dyDescent="0.3">
      <c r="G1788" s="98"/>
    </row>
    <row r="1789" spans="7:7" x14ac:dyDescent="0.3">
      <c r="G1789" s="98"/>
    </row>
    <row r="1790" spans="7:7" x14ac:dyDescent="0.3">
      <c r="G1790" s="98"/>
    </row>
    <row r="1791" spans="7:7" x14ac:dyDescent="0.3">
      <c r="G1791" s="98"/>
    </row>
    <row r="1792" spans="7:7" x14ac:dyDescent="0.3">
      <c r="G1792" s="98"/>
    </row>
    <row r="1793" spans="7:7" x14ac:dyDescent="0.3">
      <c r="G1793" s="98"/>
    </row>
    <row r="1794" spans="7:7" x14ac:dyDescent="0.3">
      <c r="G1794" s="98"/>
    </row>
    <row r="1795" spans="7:7" x14ac:dyDescent="0.3">
      <c r="G1795" s="98"/>
    </row>
    <row r="1796" spans="7:7" x14ac:dyDescent="0.3">
      <c r="G1796" s="98"/>
    </row>
    <row r="1797" spans="7:7" x14ac:dyDescent="0.3">
      <c r="G1797" s="98"/>
    </row>
    <row r="1798" spans="7:7" x14ac:dyDescent="0.3">
      <c r="G1798" s="98"/>
    </row>
    <row r="1799" spans="7:7" x14ac:dyDescent="0.3">
      <c r="G1799" s="98"/>
    </row>
    <row r="1800" spans="7:7" x14ac:dyDescent="0.3">
      <c r="G1800" s="98"/>
    </row>
    <row r="1801" spans="7:7" x14ac:dyDescent="0.3">
      <c r="G1801" s="98"/>
    </row>
    <row r="1802" spans="7:7" x14ac:dyDescent="0.3">
      <c r="G1802" s="98"/>
    </row>
    <row r="1803" spans="7:7" x14ac:dyDescent="0.3">
      <c r="G1803" s="98"/>
    </row>
    <row r="1804" spans="7:7" x14ac:dyDescent="0.3">
      <c r="G1804" s="98"/>
    </row>
    <row r="1805" spans="7:7" x14ac:dyDescent="0.3">
      <c r="G1805" s="98"/>
    </row>
    <row r="1806" spans="7:7" x14ac:dyDescent="0.3">
      <c r="G1806" s="98"/>
    </row>
    <row r="1807" spans="7:7" x14ac:dyDescent="0.3">
      <c r="G1807" s="98"/>
    </row>
    <row r="1808" spans="7:7" x14ac:dyDescent="0.3">
      <c r="G1808" s="98"/>
    </row>
    <row r="1809" spans="7:7" x14ac:dyDescent="0.3">
      <c r="G1809" s="98"/>
    </row>
    <row r="1810" spans="7:7" x14ac:dyDescent="0.3">
      <c r="G1810" s="98"/>
    </row>
    <row r="1811" spans="7:7" x14ac:dyDescent="0.3">
      <c r="G1811" s="98"/>
    </row>
    <row r="1812" spans="7:7" x14ac:dyDescent="0.3">
      <c r="G1812" s="98"/>
    </row>
    <row r="1813" spans="7:7" x14ac:dyDescent="0.3">
      <c r="G1813" s="98"/>
    </row>
    <row r="1814" spans="7:7" x14ac:dyDescent="0.3">
      <c r="G1814" s="98"/>
    </row>
    <row r="1815" spans="7:7" x14ac:dyDescent="0.3">
      <c r="G1815" s="98"/>
    </row>
    <row r="1816" spans="7:7" x14ac:dyDescent="0.3">
      <c r="G1816" s="98"/>
    </row>
    <row r="1817" spans="7:7" x14ac:dyDescent="0.3">
      <c r="G1817" s="98"/>
    </row>
    <row r="1818" spans="7:7" x14ac:dyDescent="0.3">
      <c r="G1818" s="98"/>
    </row>
    <row r="1819" spans="7:7" x14ac:dyDescent="0.3">
      <c r="G1819" s="98"/>
    </row>
    <row r="1820" spans="7:7" x14ac:dyDescent="0.3">
      <c r="G1820" s="98"/>
    </row>
    <row r="1821" spans="7:7" x14ac:dyDescent="0.3">
      <c r="G1821" s="98"/>
    </row>
    <row r="1822" spans="7:7" x14ac:dyDescent="0.3">
      <c r="G1822" s="98"/>
    </row>
    <row r="1823" spans="7:7" x14ac:dyDescent="0.3">
      <c r="G1823" s="98"/>
    </row>
    <row r="1824" spans="7:7" x14ac:dyDescent="0.3">
      <c r="G1824" s="98"/>
    </row>
    <row r="1825" spans="7:7" x14ac:dyDescent="0.3">
      <c r="G1825" s="98"/>
    </row>
    <row r="1826" spans="7:7" x14ac:dyDescent="0.3">
      <c r="G1826" s="98"/>
    </row>
    <row r="1827" spans="7:7" x14ac:dyDescent="0.3">
      <c r="G1827" s="98"/>
    </row>
    <row r="1828" spans="7:7" x14ac:dyDescent="0.3">
      <c r="G1828" s="98"/>
    </row>
    <row r="1829" spans="7:7" x14ac:dyDescent="0.3">
      <c r="G1829" s="98"/>
    </row>
    <row r="1830" spans="7:7" x14ac:dyDescent="0.3">
      <c r="G1830" s="98"/>
    </row>
    <row r="1831" spans="7:7" x14ac:dyDescent="0.3">
      <c r="G1831" s="98"/>
    </row>
    <row r="1832" spans="7:7" x14ac:dyDescent="0.3">
      <c r="G1832" s="98"/>
    </row>
    <row r="1833" spans="7:7" x14ac:dyDescent="0.3">
      <c r="G1833" s="98"/>
    </row>
    <row r="1834" spans="7:7" x14ac:dyDescent="0.3">
      <c r="G1834" s="98"/>
    </row>
    <row r="1835" spans="7:7" x14ac:dyDescent="0.3">
      <c r="G1835" s="98"/>
    </row>
    <row r="1836" spans="7:7" x14ac:dyDescent="0.3">
      <c r="G1836" s="98"/>
    </row>
    <row r="1837" spans="7:7" x14ac:dyDescent="0.3">
      <c r="G1837" s="98"/>
    </row>
    <row r="1838" spans="7:7" x14ac:dyDescent="0.3">
      <c r="G1838" s="98"/>
    </row>
    <row r="1839" spans="7:7" x14ac:dyDescent="0.3">
      <c r="G1839" s="98"/>
    </row>
    <row r="1840" spans="7:7" x14ac:dyDescent="0.3">
      <c r="G1840" s="98"/>
    </row>
    <row r="1841" spans="7:7" x14ac:dyDescent="0.3">
      <c r="G1841" s="98"/>
    </row>
    <row r="1842" spans="7:7" x14ac:dyDescent="0.3">
      <c r="G1842" s="98"/>
    </row>
    <row r="1843" spans="7:7" x14ac:dyDescent="0.3">
      <c r="G1843" s="98"/>
    </row>
    <row r="1844" spans="7:7" x14ac:dyDescent="0.3">
      <c r="G1844" s="98"/>
    </row>
    <row r="1845" spans="7:7" x14ac:dyDescent="0.3">
      <c r="G1845" s="98"/>
    </row>
    <row r="1846" spans="7:7" x14ac:dyDescent="0.3">
      <c r="G1846" s="98"/>
    </row>
    <row r="1847" spans="7:7" x14ac:dyDescent="0.3">
      <c r="G1847" s="98"/>
    </row>
    <row r="1848" spans="7:7" x14ac:dyDescent="0.3">
      <c r="G1848" s="98"/>
    </row>
    <row r="1849" spans="7:7" x14ac:dyDescent="0.3">
      <c r="G1849" s="98"/>
    </row>
    <row r="1850" spans="7:7" x14ac:dyDescent="0.3">
      <c r="G1850" s="98"/>
    </row>
    <row r="1851" spans="7:7" x14ac:dyDescent="0.3">
      <c r="G1851" s="98"/>
    </row>
    <row r="1852" spans="7:7" x14ac:dyDescent="0.3">
      <c r="G1852" s="98"/>
    </row>
    <row r="1853" spans="7:7" x14ac:dyDescent="0.3">
      <c r="G1853" s="98"/>
    </row>
    <row r="1854" spans="7:7" x14ac:dyDescent="0.3">
      <c r="G1854" s="98"/>
    </row>
    <row r="1855" spans="7:7" x14ac:dyDescent="0.3">
      <c r="G1855" s="98"/>
    </row>
    <row r="1856" spans="7:7" x14ac:dyDescent="0.3">
      <c r="G1856" s="98"/>
    </row>
    <row r="1857" spans="7:7" x14ac:dyDescent="0.3">
      <c r="G1857" s="98"/>
    </row>
    <row r="1858" spans="7:7" x14ac:dyDescent="0.3">
      <c r="G1858" s="98"/>
    </row>
    <row r="1859" spans="7:7" x14ac:dyDescent="0.3">
      <c r="G1859" s="98"/>
    </row>
    <row r="1860" spans="7:7" x14ac:dyDescent="0.3">
      <c r="G1860" s="98"/>
    </row>
    <row r="1861" spans="7:7" x14ac:dyDescent="0.3">
      <c r="G1861" s="98"/>
    </row>
    <row r="1862" spans="7:7" x14ac:dyDescent="0.3">
      <c r="G1862" s="98"/>
    </row>
    <row r="1863" spans="7:7" x14ac:dyDescent="0.3">
      <c r="G1863" s="98"/>
    </row>
    <row r="1864" spans="7:7" x14ac:dyDescent="0.3">
      <c r="G1864" s="98"/>
    </row>
    <row r="1865" spans="7:7" x14ac:dyDescent="0.3">
      <c r="G1865" s="98"/>
    </row>
    <row r="1866" spans="7:7" x14ac:dyDescent="0.3">
      <c r="G1866" s="98"/>
    </row>
    <row r="1867" spans="7:7" x14ac:dyDescent="0.3">
      <c r="G1867" s="98"/>
    </row>
    <row r="1868" spans="7:7" x14ac:dyDescent="0.3">
      <c r="G1868" s="98"/>
    </row>
    <row r="1869" spans="7:7" x14ac:dyDescent="0.3">
      <c r="G1869" s="98"/>
    </row>
    <row r="1870" spans="7:7" x14ac:dyDescent="0.3">
      <c r="G1870" s="98"/>
    </row>
    <row r="1871" spans="7:7" x14ac:dyDescent="0.3">
      <c r="G1871" s="98"/>
    </row>
    <row r="1872" spans="7:7" x14ac:dyDescent="0.3">
      <c r="G1872" s="98"/>
    </row>
    <row r="1873" spans="7:7" x14ac:dyDescent="0.3">
      <c r="G1873" s="98"/>
    </row>
    <row r="1874" spans="7:7" x14ac:dyDescent="0.3">
      <c r="G1874" s="98"/>
    </row>
    <row r="1875" spans="7:7" x14ac:dyDescent="0.3">
      <c r="G1875" s="98"/>
    </row>
    <row r="1876" spans="7:7" x14ac:dyDescent="0.3">
      <c r="G1876" s="98"/>
    </row>
    <row r="1877" spans="7:7" x14ac:dyDescent="0.3">
      <c r="G1877" s="98"/>
    </row>
    <row r="1878" spans="7:7" x14ac:dyDescent="0.3">
      <c r="G1878" s="98"/>
    </row>
    <row r="1879" spans="7:7" x14ac:dyDescent="0.3">
      <c r="G1879" s="98"/>
    </row>
    <row r="1880" spans="7:7" x14ac:dyDescent="0.3">
      <c r="G1880" s="98"/>
    </row>
    <row r="1881" spans="7:7" x14ac:dyDescent="0.3">
      <c r="G1881" s="98"/>
    </row>
    <row r="1882" spans="7:7" x14ac:dyDescent="0.3">
      <c r="G1882" s="98"/>
    </row>
    <row r="1883" spans="7:7" x14ac:dyDescent="0.3">
      <c r="G1883" s="98"/>
    </row>
    <row r="1884" spans="7:7" x14ac:dyDescent="0.3">
      <c r="G1884" s="98"/>
    </row>
    <row r="1885" spans="7:7" x14ac:dyDescent="0.3">
      <c r="G1885" s="98"/>
    </row>
    <row r="1886" spans="7:7" x14ac:dyDescent="0.3">
      <c r="G1886" s="98"/>
    </row>
    <row r="1887" spans="7:7" x14ac:dyDescent="0.3">
      <c r="G1887" s="98"/>
    </row>
    <row r="1888" spans="7:7" x14ac:dyDescent="0.3">
      <c r="G1888" s="98"/>
    </row>
    <row r="1889" spans="7:7" x14ac:dyDescent="0.3">
      <c r="G1889" s="98"/>
    </row>
    <row r="1890" spans="7:7" x14ac:dyDescent="0.3">
      <c r="G1890" s="98"/>
    </row>
    <row r="1891" spans="7:7" x14ac:dyDescent="0.3">
      <c r="G1891" s="98"/>
    </row>
    <row r="1892" spans="7:7" x14ac:dyDescent="0.3">
      <c r="G1892" s="98"/>
    </row>
    <row r="1893" spans="7:7" x14ac:dyDescent="0.3">
      <c r="G1893" s="98"/>
    </row>
    <row r="1894" spans="7:7" x14ac:dyDescent="0.3">
      <c r="G1894" s="98"/>
    </row>
    <row r="1895" spans="7:7" x14ac:dyDescent="0.3">
      <c r="G1895" s="98"/>
    </row>
    <row r="1896" spans="7:7" x14ac:dyDescent="0.3">
      <c r="G1896" s="98"/>
    </row>
    <row r="1897" spans="7:7" x14ac:dyDescent="0.3">
      <c r="G1897" s="98"/>
    </row>
    <row r="1898" spans="7:7" x14ac:dyDescent="0.3">
      <c r="G1898" s="98"/>
    </row>
    <row r="1899" spans="7:7" x14ac:dyDescent="0.3">
      <c r="G1899" s="98"/>
    </row>
    <row r="1900" spans="7:7" x14ac:dyDescent="0.3">
      <c r="G1900" s="98"/>
    </row>
    <row r="1901" spans="7:7" x14ac:dyDescent="0.3">
      <c r="G1901" s="98"/>
    </row>
    <row r="1902" spans="7:7" x14ac:dyDescent="0.3">
      <c r="G1902" s="98"/>
    </row>
    <row r="1903" spans="7:7" x14ac:dyDescent="0.3">
      <c r="G1903" s="98"/>
    </row>
    <row r="1904" spans="7:7" x14ac:dyDescent="0.3">
      <c r="G1904" s="98"/>
    </row>
  </sheetData>
  <mergeCells count="4">
    <mergeCell ref="B45:F45"/>
    <mergeCell ref="B2:E2"/>
    <mergeCell ref="B23:F23"/>
    <mergeCell ref="B21:F21"/>
  </mergeCells>
  <conditionalFormatting sqref="F14:F17">
    <cfRule type="expression" dxfId="14" priority="1">
      <formula>IF(AND(LEN(#REF!)=0, LEN(#REF!)=0,#REF!="X",LEN(#REF!)&gt;=0),1,0)=1</formula>
    </cfRule>
  </conditionalFormatting>
  <hyperlinks>
    <hyperlink ref="G2" location="'Excel Output'!C47" display="Return button" xr:uid="{71D04FB3-EDA4-4FAA-B777-93E44AF5B8D0}"/>
    <hyperlink ref="G26" location="Network!B36:H43" display="Worksheet" xr:uid="{BAEB1BE3-3CF5-4911-B437-87858EA50441}"/>
    <hyperlink ref="G48" location="Network!B58:H65" display="Worksheet" xr:uid="{220B347A-0B69-42B7-934D-6C568E164A6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1445-18E4-4A73-AB68-8AE8498160FC}">
  <sheetPr codeName="Sheet7">
    <tabColor theme="9" tint="0.59999389629810485"/>
  </sheetPr>
  <dimension ref="A1:T1847"/>
  <sheetViews>
    <sheetView showGridLines="0" topLeftCell="A16" zoomScale="60" zoomScaleNormal="60" workbookViewId="0">
      <selection activeCell="F8" sqref="F8"/>
    </sheetView>
  </sheetViews>
  <sheetFormatPr defaultColWidth="16.44140625" defaultRowHeight="15.6" x14ac:dyDescent="0.3"/>
  <cols>
    <col min="1" max="1" width="8.44140625" style="302" customWidth="1"/>
    <col min="2" max="2" width="47" style="95" customWidth="1"/>
    <col min="3" max="4" width="18.77734375" style="95" customWidth="1"/>
    <col min="5" max="5" width="23.77734375" style="95" customWidth="1"/>
    <col min="6" max="6" width="18.44140625" style="210" customWidth="1"/>
    <col min="7" max="7" width="15.44140625" style="206" customWidth="1"/>
    <col min="8" max="8" width="128.21875" style="95" customWidth="1"/>
    <col min="9" max="9" width="42.21875" style="95" customWidth="1"/>
    <col min="10" max="12" width="18.77734375" style="95" customWidth="1"/>
    <col min="13" max="15" width="18.77734375" style="99" customWidth="1"/>
    <col min="16" max="16" width="22.21875" style="96" customWidth="1"/>
    <col min="17" max="17" width="20.77734375" style="100" customWidth="1"/>
    <col min="18" max="18" width="43" style="195" customWidth="1"/>
    <col min="19" max="19" width="70.44140625" style="95" customWidth="1"/>
    <col min="20" max="20" width="6.77734375" style="95" customWidth="1"/>
    <col min="21" max="21" width="70.44140625" style="95" customWidth="1"/>
    <col min="22" max="16384" width="16.44140625" style="95"/>
  </cols>
  <sheetData>
    <row r="1" spans="1:20" ht="20.25" customHeight="1" thickBot="1" x14ac:dyDescent="0.35">
      <c r="F1" s="98"/>
      <c r="L1" s="94"/>
      <c r="M1" s="95"/>
      <c r="N1" s="95"/>
      <c r="O1" s="95"/>
      <c r="P1" s="95"/>
      <c r="Q1" s="95"/>
      <c r="R1" s="95"/>
    </row>
    <row r="2" spans="1:20" ht="16.2" thickBot="1" x14ac:dyDescent="0.35">
      <c r="B2" s="883" t="s">
        <v>300</v>
      </c>
      <c r="C2" s="884"/>
      <c r="D2" s="884"/>
      <c r="E2" s="884"/>
      <c r="F2" s="885"/>
      <c r="G2" s="466" t="s">
        <v>473</v>
      </c>
      <c r="H2" s="303"/>
      <c r="K2" s="99"/>
      <c r="L2" s="99"/>
      <c r="N2" s="96"/>
      <c r="O2" s="100"/>
      <c r="P2" s="195"/>
      <c r="Q2" s="95"/>
      <c r="R2" s="95"/>
    </row>
    <row r="3" spans="1:20" ht="16.5" customHeight="1" thickBot="1" x14ac:dyDescent="0.35">
      <c r="B3" s="302"/>
      <c r="C3" s="302"/>
      <c r="D3" s="302"/>
      <c r="E3" s="302"/>
      <c r="F3" s="302"/>
      <c r="G3" s="302"/>
      <c r="H3" s="302"/>
      <c r="I3" s="302"/>
      <c r="K3" s="99"/>
      <c r="L3" s="99"/>
      <c r="N3" s="96"/>
      <c r="O3" s="100"/>
      <c r="P3" s="195"/>
      <c r="Q3" s="95"/>
      <c r="R3" s="95"/>
    </row>
    <row r="4" spans="1:20" ht="16.2" thickBot="1" x14ac:dyDescent="0.35">
      <c r="B4" s="305" t="s">
        <v>12</v>
      </c>
      <c r="C4" s="306"/>
      <c r="D4" s="306"/>
      <c r="E4" s="306"/>
      <c r="F4" s="307"/>
      <c r="G4" s="555"/>
      <c r="H4" s="308" t="s">
        <v>2</v>
      </c>
      <c r="I4" s="748">
        <f>F5*((1+F6)^5-1)/F6</f>
        <v>2762815.6250000009</v>
      </c>
      <c r="K4" s="99"/>
      <c r="L4" s="99"/>
      <c r="N4" s="96"/>
      <c r="O4" s="100"/>
      <c r="P4" s="195"/>
      <c r="Q4" s="95"/>
      <c r="R4" s="95"/>
    </row>
    <row r="5" spans="1:20" ht="16.2" thickBot="1" x14ac:dyDescent="0.35">
      <c r="A5" s="206" t="s">
        <v>345</v>
      </c>
      <c r="B5" s="309" t="s">
        <v>301</v>
      </c>
      <c r="C5" s="310"/>
      <c r="D5" s="310"/>
      <c r="E5" s="310"/>
      <c r="F5" s="318">
        <v>500000</v>
      </c>
      <c r="G5" s="555"/>
      <c r="H5" s="566" t="s">
        <v>302</v>
      </c>
      <c r="K5" s="99"/>
      <c r="L5" s="99"/>
      <c r="N5" s="96"/>
      <c r="O5" s="100"/>
      <c r="P5" s="195"/>
      <c r="Q5" s="95"/>
      <c r="R5" s="95"/>
    </row>
    <row r="6" spans="1:20" ht="20.25" customHeight="1" thickBot="1" x14ac:dyDescent="0.35">
      <c r="B6" s="7" t="s">
        <v>304</v>
      </c>
      <c r="C6" s="50"/>
      <c r="D6" s="50"/>
      <c r="E6" s="67"/>
      <c r="F6" s="183">
        <v>0.05</v>
      </c>
      <c r="G6" s="97"/>
      <c r="H6" s="379" t="s">
        <v>255</v>
      </c>
      <c r="I6" s="195"/>
      <c r="M6" s="95"/>
      <c r="N6" s="95"/>
      <c r="P6" s="99"/>
      <c r="Q6" s="99"/>
      <c r="R6" s="96"/>
      <c r="S6" s="100"/>
      <c r="T6" s="195"/>
    </row>
    <row r="7" spans="1:20" ht="16.2" thickBot="1" x14ac:dyDescent="0.35">
      <c r="B7" s="169" t="str">
        <f>FIXED(AnalysisTerm,0)&amp;"-Year Current State Cost"</f>
        <v>10-Year Current State Cost</v>
      </c>
      <c r="C7" s="92"/>
      <c r="D7" s="92"/>
      <c r="E7" s="93"/>
      <c r="F7" s="311">
        <f>IF(AnalysisTerm=3,F5+F5*(1+F6)+F5*(1+F6)^2,F5+F5*(1+F6)+F5*(1+F6)^2+F5*(1+F6)^3+F5*(1+F6)^4)</f>
        <v>2762815.625</v>
      </c>
      <c r="G7" s="312"/>
      <c r="H7" s="502" t="s">
        <v>8</v>
      </c>
      <c r="K7" s="99"/>
      <c r="L7" s="99"/>
      <c r="N7" s="96"/>
      <c r="O7" s="100"/>
      <c r="P7" s="195"/>
      <c r="Q7" s="95"/>
      <c r="R7" s="95"/>
    </row>
    <row r="8" spans="1:20" ht="20.25" customHeight="1" thickBot="1" x14ac:dyDescent="0.35">
      <c r="B8" s="74" t="s">
        <v>13</v>
      </c>
      <c r="C8" s="152"/>
      <c r="D8" s="310"/>
      <c r="E8" s="310"/>
      <c r="F8" s="313"/>
      <c r="G8" s="555"/>
      <c r="H8" s="310"/>
    </row>
    <row r="9" spans="1:20" ht="20.25" customHeight="1" thickBot="1" x14ac:dyDescent="0.35">
      <c r="B9" s="309" t="s">
        <v>303</v>
      </c>
      <c r="C9" s="310"/>
      <c r="D9" s="310"/>
      <c r="E9" s="317"/>
      <c r="F9" s="314">
        <f>ROUND(100%,3)-50%</f>
        <v>0.5</v>
      </c>
      <c r="G9" s="555"/>
      <c r="H9" s="383" t="s">
        <v>468</v>
      </c>
      <c r="J9" s="748">
        <f>F10*F6/((1+F6)^5-1)</f>
        <v>250000.03393277456</v>
      </c>
    </row>
    <row r="10" spans="1:20" ht="16.2" thickBot="1" x14ac:dyDescent="0.35">
      <c r="B10" s="91" t="str">
        <f>FIXED(AnalysisTerm,0)&amp;"-Year Future State Cost"</f>
        <v>10-Year Future State Cost</v>
      </c>
      <c r="C10" s="92"/>
      <c r="D10" s="92"/>
      <c r="E10" s="93"/>
      <c r="F10" s="311">
        <f>ROUND(F7*(1-F9),0)</f>
        <v>1381408</v>
      </c>
      <c r="G10" s="315"/>
      <c r="H10" s="502" t="s">
        <v>8</v>
      </c>
      <c r="K10" s="99"/>
      <c r="L10" s="99"/>
      <c r="N10" s="96"/>
      <c r="O10" s="100"/>
      <c r="P10" s="195"/>
      <c r="Q10" s="95"/>
      <c r="R10" s="95"/>
    </row>
    <row r="11" spans="1:20" ht="16.2" thickBot="1" x14ac:dyDescent="0.35">
      <c r="B11" s="2"/>
      <c r="C11" s="2"/>
      <c r="D11" s="2"/>
      <c r="E11" s="2"/>
      <c r="F11" s="13"/>
      <c r="G11" s="556"/>
      <c r="H11" s="2"/>
    </row>
    <row r="12" spans="1:20" ht="16.2" thickBot="1" x14ac:dyDescent="0.35">
      <c r="A12" s="333" t="str">
        <f>IF('Initial Screens'!$D$28="Yes","Show","Hide")</f>
        <v>Hide</v>
      </c>
      <c r="B12" s="883" t="s">
        <v>323</v>
      </c>
      <c r="C12" s="884"/>
      <c r="D12" s="884"/>
      <c r="E12" s="884"/>
      <c r="F12" s="885"/>
      <c r="G12" s="180"/>
      <c r="H12" s="303"/>
      <c r="K12" s="99"/>
      <c r="L12" s="99"/>
      <c r="N12" s="96"/>
      <c r="O12" s="100"/>
      <c r="P12" s="195"/>
      <c r="Q12" s="95"/>
      <c r="R12" s="95"/>
    </row>
    <row r="13" spans="1:20" ht="16.5" customHeight="1" thickBot="1" x14ac:dyDescent="0.35">
      <c r="A13" s="333" t="str">
        <f>IF('Initial Screens'!$D$28="Yes","Show","Hide")</f>
        <v>Hide</v>
      </c>
      <c r="B13" s="302"/>
      <c r="C13" s="302"/>
      <c r="D13" s="302"/>
      <c r="E13" s="302"/>
      <c r="F13" s="302"/>
      <c r="G13" s="302"/>
      <c r="H13" s="335"/>
      <c r="K13" s="99"/>
      <c r="L13" s="99"/>
      <c r="N13" s="96"/>
      <c r="O13" s="100"/>
      <c r="P13" s="195"/>
      <c r="Q13" s="95"/>
      <c r="R13" s="95"/>
    </row>
    <row r="14" spans="1:20" ht="16.2" thickBot="1" x14ac:dyDescent="0.35">
      <c r="A14" s="333" t="str">
        <f>IF('Initial Screens'!$D$28="Yes","Show","Hide")</f>
        <v>Hide</v>
      </c>
      <c r="B14" s="305" t="s">
        <v>12</v>
      </c>
      <c r="C14" s="306"/>
      <c r="D14" s="306"/>
      <c r="E14" s="306"/>
      <c r="F14" s="307"/>
      <c r="G14" s="555"/>
      <c r="H14" s="336" t="s">
        <v>2</v>
      </c>
      <c r="K14" s="99"/>
      <c r="L14" s="99"/>
      <c r="N14" s="96"/>
      <c r="O14" s="100"/>
      <c r="P14" s="195"/>
      <c r="Q14" s="95"/>
      <c r="R14" s="95"/>
    </row>
    <row r="15" spans="1:20" ht="16.2" thickBot="1" x14ac:dyDescent="0.35">
      <c r="A15" s="333" t="str">
        <f>IF('Initial Screens'!$D$28="Yes","Show","Hide")</f>
        <v>Hide</v>
      </c>
      <c r="B15" s="309" t="s">
        <v>305</v>
      </c>
      <c r="C15" s="310"/>
      <c r="D15" s="310"/>
      <c r="E15" s="310"/>
      <c r="F15" s="323">
        <f>Compute!D39*Compute!D41</f>
        <v>14400</v>
      </c>
      <c r="G15" s="555"/>
      <c r="H15" s="383" t="s">
        <v>510</v>
      </c>
      <c r="K15" s="99"/>
      <c r="L15" s="99"/>
      <c r="N15" s="96"/>
      <c r="O15" s="100"/>
      <c r="P15" s="195"/>
      <c r="Q15" s="95"/>
      <c r="R15" s="95"/>
    </row>
    <row r="16" spans="1:20" ht="16.2" thickBot="1" x14ac:dyDescent="0.35">
      <c r="A16" s="333" t="str">
        <f>IF('Initial Screens'!$D$28="Yes","Show","Hide")</f>
        <v>Hide</v>
      </c>
      <c r="B16" s="309" t="s">
        <v>306</v>
      </c>
      <c r="C16" s="310"/>
      <c r="D16" s="310"/>
      <c r="E16" s="310"/>
      <c r="F16" s="319">
        <f>ROUND(12%,3)</f>
        <v>0.12</v>
      </c>
      <c r="G16" s="555"/>
      <c r="H16" s="383" t="s">
        <v>509</v>
      </c>
      <c r="K16" s="99"/>
      <c r="L16" s="99"/>
      <c r="N16" s="96"/>
      <c r="O16" s="100"/>
      <c r="P16" s="195"/>
      <c r="Q16" s="95"/>
      <c r="R16" s="95"/>
    </row>
    <row r="17" spans="1:18" ht="16.2" thickBot="1" x14ac:dyDescent="0.35">
      <c r="A17" s="333" t="str">
        <f>IF('Initial Screens'!$D$28="Yes","Show","Hide")</f>
        <v>Hide</v>
      </c>
      <c r="B17" s="309" t="s">
        <v>307</v>
      </c>
      <c r="C17" s="310"/>
      <c r="D17" s="310"/>
      <c r="E17" s="310"/>
      <c r="F17" s="316">
        <f>1000</f>
        <v>1000</v>
      </c>
      <c r="G17" s="555"/>
      <c r="H17" s="383" t="s">
        <v>467</v>
      </c>
      <c r="K17" s="99"/>
      <c r="L17" s="99"/>
      <c r="N17" s="96"/>
      <c r="O17" s="100"/>
      <c r="P17" s="195"/>
      <c r="Q17" s="95"/>
      <c r="R17" s="95"/>
    </row>
    <row r="18" spans="1:18" ht="16.2" thickBot="1" x14ac:dyDescent="0.35">
      <c r="A18" s="333" t="str">
        <f>IF('Initial Screens'!$D$28="Yes","Show","Hide")</f>
        <v>Hide</v>
      </c>
      <c r="B18" s="169" t="str">
        <f>FIXED(AnalysisTerm,0)&amp;"-Year Current State Cost"</f>
        <v>10-Year Current State Cost</v>
      </c>
      <c r="C18" s="92"/>
      <c r="D18" s="92"/>
      <c r="E18" s="93"/>
      <c r="F18" s="311">
        <f>IF('Initial Screens'!$D$28="Yes",ROUND(F15*F16*F17*AnalysisTerm,0),0)</f>
        <v>0</v>
      </c>
      <c r="G18" s="312"/>
      <c r="H18" s="502" t="s">
        <v>8</v>
      </c>
      <c r="K18" s="99"/>
      <c r="L18" s="99"/>
      <c r="N18" s="96"/>
      <c r="O18" s="100"/>
      <c r="P18" s="195"/>
      <c r="Q18" s="95"/>
      <c r="R18" s="95"/>
    </row>
    <row r="19" spans="1:18" ht="16.2" thickBot="1" x14ac:dyDescent="0.35">
      <c r="A19" s="333" t="str">
        <f>IF('Initial Screens'!$D$28="Yes","Show","Hide")</f>
        <v>Hide</v>
      </c>
      <c r="B19" s="74" t="s">
        <v>13</v>
      </c>
      <c r="C19" s="152"/>
      <c r="D19" s="2"/>
      <c r="E19" s="310"/>
      <c r="F19" s="313"/>
      <c r="G19" s="555"/>
      <c r="H19" s="310"/>
      <c r="K19" s="99"/>
      <c r="L19" s="99"/>
      <c r="N19" s="96"/>
      <c r="O19" s="100"/>
      <c r="P19" s="195"/>
      <c r="Q19" s="95"/>
      <c r="R19" s="95"/>
    </row>
    <row r="20" spans="1:18" ht="16.2" thickBot="1" x14ac:dyDescent="0.35">
      <c r="A20" s="333" t="str">
        <f>IF('Initial Screens'!$D$28="Yes","Show","Hide")</f>
        <v>Hide</v>
      </c>
      <c r="B20" s="322" t="s">
        <v>303</v>
      </c>
      <c r="C20" s="310"/>
      <c r="D20" s="310"/>
      <c r="E20" s="105"/>
      <c r="F20" s="320">
        <v>1</v>
      </c>
      <c r="G20" s="555"/>
      <c r="H20" s="383" t="s">
        <v>308</v>
      </c>
      <c r="K20" s="99"/>
      <c r="L20" s="99"/>
      <c r="N20" s="96"/>
      <c r="O20" s="100"/>
      <c r="P20" s="195"/>
      <c r="Q20" s="95"/>
      <c r="R20" s="95"/>
    </row>
    <row r="21" spans="1:18" ht="16.2" thickBot="1" x14ac:dyDescent="0.35">
      <c r="A21" s="333" t="str">
        <f>IF('Initial Screens'!$D$28="Yes","Show","Hide")</f>
        <v>Hide</v>
      </c>
      <c r="B21" s="91" t="str">
        <f>FIXED(AnalysisTerm,0)&amp;"-Year Future State Cost"</f>
        <v>10-Year Future State Cost</v>
      </c>
      <c r="C21" s="92"/>
      <c r="D21" s="92"/>
      <c r="E21" s="93"/>
      <c r="F21" s="321">
        <f>IF('Initial Screens'!$D$28="Yes",ROUND(F18*(1-F20),0),0)</f>
        <v>0</v>
      </c>
      <c r="G21" s="315"/>
      <c r="H21" s="502" t="s">
        <v>8</v>
      </c>
      <c r="K21" s="99"/>
      <c r="L21" s="99"/>
      <c r="N21" s="96"/>
      <c r="O21" s="100"/>
      <c r="P21" s="195"/>
      <c r="Q21" s="95"/>
      <c r="R21" s="95"/>
    </row>
    <row r="23" spans="1:18" x14ac:dyDescent="0.3">
      <c r="B23" s="95" t="s">
        <v>591</v>
      </c>
      <c r="C23" s="239" t="s">
        <v>463</v>
      </c>
      <c r="D23" s="2"/>
      <c r="E23" s="56"/>
      <c r="F23" s="56"/>
      <c r="G23" s="333"/>
      <c r="H23" s="56"/>
    </row>
    <row r="24" spans="1:18" ht="16.2" thickBot="1" x14ac:dyDescent="0.35">
      <c r="B24" s="2"/>
      <c r="C24" s="2"/>
      <c r="D24" s="2"/>
      <c r="E24" s="2"/>
      <c r="F24"/>
      <c r="G24" s="333"/>
      <c r="H24" s="2"/>
    </row>
    <row r="25" spans="1:18" ht="16.2" thickBot="1" x14ac:dyDescent="0.35">
      <c r="A25" s="726"/>
      <c r="B25" s="343" t="s">
        <v>584</v>
      </c>
      <c r="C25" s="344"/>
      <c r="D25" s="344"/>
      <c r="E25" s="344"/>
      <c r="F25" s="345"/>
      <c r="H25" s="2"/>
    </row>
    <row r="26" spans="1:18" ht="16.2" thickBot="1" x14ac:dyDescent="0.35">
      <c r="A26" s="726"/>
      <c r="B26" s="154"/>
      <c r="C26" s="154"/>
      <c r="D26" s="154"/>
      <c r="E26" s="154"/>
      <c r="F26" s="154"/>
      <c r="G26" s="333"/>
      <c r="H26" s="540"/>
    </row>
    <row r="27" spans="1:18" ht="16.2" thickBot="1" x14ac:dyDescent="0.35">
      <c r="A27" s="726"/>
      <c r="B27" s="5" t="s">
        <v>12</v>
      </c>
      <c r="C27" s="6"/>
      <c r="D27" s="6"/>
      <c r="E27" s="6"/>
      <c r="F27" s="72"/>
      <c r="G27" s="333"/>
      <c r="H27" s="11" t="s">
        <v>2</v>
      </c>
    </row>
    <row r="28" spans="1:18" ht="16.2" thickBot="1" x14ac:dyDescent="0.35">
      <c r="A28" s="726"/>
      <c r="B28" s="541" t="s">
        <v>589</v>
      </c>
      <c r="C28" s="50"/>
      <c r="D28" s="50"/>
      <c r="E28" s="8"/>
      <c r="F28" s="542"/>
      <c r="G28" s="333"/>
      <c r="H28" s="545"/>
    </row>
    <row r="29" spans="1:18" ht="16.2" thickBot="1" x14ac:dyDescent="0.35">
      <c r="A29" s="726"/>
      <c r="B29" s="541" t="s">
        <v>585</v>
      </c>
      <c r="C29" s="77"/>
      <c r="D29" s="77"/>
      <c r="E29" s="8"/>
      <c r="F29" s="543"/>
      <c r="G29" s="333"/>
      <c r="H29" s="545"/>
    </row>
    <row r="30" spans="1:18" ht="16.2" thickBot="1" x14ac:dyDescent="0.35">
      <c r="A30" s="726"/>
      <c r="B30" s="169" t="str">
        <f>FIXED(AnalysisTerm,0)&amp;"-Year Current State Cost"</f>
        <v>10-Year Current State Cost</v>
      </c>
      <c r="C30" s="92"/>
      <c r="D30" s="92"/>
      <c r="E30" s="93"/>
      <c r="F30" s="102">
        <f>IFERROR(ROUND(F28*F29*AnalysisTerm,0),"")</f>
        <v>0</v>
      </c>
      <c r="G30" s="333"/>
      <c r="H30" s="500" t="s">
        <v>8</v>
      </c>
    </row>
    <row r="31" spans="1:18" ht="16.2" thickBot="1" x14ac:dyDescent="0.35">
      <c r="A31" s="726"/>
      <c r="B31" s="5" t="s">
        <v>13</v>
      </c>
      <c r="C31" s="94"/>
      <c r="D31" s="94"/>
      <c r="E31" s="94"/>
      <c r="F31" s="94"/>
      <c r="G31" s="333"/>
      <c r="H31" s="99"/>
    </row>
    <row r="32" spans="1:18" ht="16.2" thickBot="1" x14ac:dyDescent="0.35">
      <c r="A32" s="726"/>
      <c r="B32" s="7" t="s">
        <v>582</v>
      </c>
      <c r="C32" s="50"/>
      <c r="D32" s="50"/>
      <c r="E32" s="8"/>
      <c r="F32" s="87">
        <v>1</v>
      </c>
      <c r="G32" s="333"/>
      <c r="H32" s="545"/>
    </row>
    <row r="33" spans="1:8" ht="16.2" thickBot="1" x14ac:dyDescent="0.35">
      <c r="A33" s="726"/>
      <c r="B33" s="7" t="s">
        <v>583</v>
      </c>
      <c r="C33" s="50"/>
      <c r="D33" s="50"/>
      <c r="E33" s="62"/>
      <c r="F33" s="544"/>
      <c r="G33" s="333"/>
      <c r="H33" s="545"/>
    </row>
    <row r="34" spans="1:8" ht="16.2" thickBot="1" x14ac:dyDescent="0.35">
      <c r="A34" s="726"/>
      <c r="B34" s="91" t="str">
        <f>FIXED(AnalysisTerm,0)&amp;"-Year Future State Cost"</f>
        <v>10-Year Future State Cost</v>
      </c>
      <c r="C34" s="92"/>
      <c r="D34" s="92"/>
      <c r="E34" s="93"/>
      <c r="F34" s="102">
        <f>IFERROR(ROUND((F30*(1-F32)+F30*F32*(1-F33))*AnalysisTerm,0),"")</f>
        <v>0</v>
      </c>
      <c r="G34" s="333"/>
      <c r="H34" s="500" t="s">
        <v>8</v>
      </c>
    </row>
    <row r="66" spans="2:18" ht="20.25" customHeight="1" x14ac:dyDescent="0.3">
      <c r="B66" s="255"/>
      <c r="C66" s="256"/>
      <c r="D66" s="148"/>
      <c r="E66" s="148"/>
      <c r="F66" s="98"/>
      <c r="G66" s="302"/>
    </row>
    <row r="67" spans="2:18" ht="10.050000000000001" customHeight="1" x14ac:dyDescent="0.3">
      <c r="F67" s="98"/>
      <c r="M67" s="95"/>
      <c r="N67" s="95"/>
      <c r="O67" s="95"/>
      <c r="P67" s="95"/>
      <c r="Q67" s="95"/>
      <c r="R67" s="95"/>
    </row>
    <row r="68" spans="2:18" collapsed="1" x14ac:dyDescent="0.3">
      <c r="F68" s="98"/>
    </row>
    <row r="69" spans="2:18" x14ac:dyDescent="0.3">
      <c r="F69" s="98"/>
    </row>
    <row r="70" spans="2:18" x14ac:dyDescent="0.3">
      <c r="F70" s="98"/>
    </row>
    <row r="71" spans="2:18" x14ac:dyDescent="0.3">
      <c r="F71" s="98"/>
    </row>
    <row r="72" spans="2:18" x14ac:dyDescent="0.3">
      <c r="F72" s="98"/>
    </row>
    <row r="73" spans="2:18" x14ac:dyDescent="0.3">
      <c r="F73" s="98"/>
    </row>
    <row r="74" spans="2:18" x14ac:dyDescent="0.3">
      <c r="F74" s="98"/>
    </row>
    <row r="75" spans="2:18" x14ac:dyDescent="0.3">
      <c r="F75" s="98"/>
    </row>
    <row r="76" spans="2:18" x14ac:dyDescent="0.3">
      <c r="F76" s="98"/>
    </row>
    <row r="77" spans="2:18" x14ac:dyDescent="0.3">
      <c r="F77" s="98"/>
    </row>
    <row r="78" spans="2:18" x14ac:dyDescent="0.3">
      <c r="F78" s="98"/>
    </row>
    <row r="79" spans="2:18" x14ac:dyDescent="0.3">
      <c r="F79" s="98"/>
    </row>
    <row r="80" spans="2:18" x14ac:dyDescent="0.3">
      <c r="F80" s="98"/>
    </row>
    <row r="81" spans="6:6" x14ac:dyDescent="0.3">
      <c r="F81" s="98"/>
    </row>
    <row r="82" spans="6:6" x14ac:dyDescent="0.3">
      <c r="F82" s="98"/>
    </row>
    <row r="83" spans="6:6" x14ac:dyDescent="0.3">
      <c r="F83" s="98"/>
    </row>
    <row r="84" spans="6:6" x14ac:dyDescent="0.3">
      <c r="F84" s="98"/>
    </row>
    <row r="85" spans="6:6" x14ac:dyDescent="0.3">
      <c r="F85" s="98"/>
    </row>
    <row r="86" spans="6:6" x14ac:dyDescent="0.3">
      <c r="F86" s="98"/>
    </row>
    <row r="87" spans="6:6" x14ac:dyDescent="0.3">
      <c r="F87" s="98"/>
    </row>
    <row r="88" spans="6:6" x14ac:dyDescent="0.3">
      <c r="F88" s="98"/>
    </row>
    <row r="89" spans="6:6" x14ac:dyDescent="0.3">
      <c r="F89" s="98"/>
    </row>
    <row r="90" spans="6:6" x14ac:dyDescent="0.3">
      <c r="F90" s="98"/>
    </row>
    <row r="91" spans="6:6" x14ac:dyDescent="0.3">
      <c r="F91" s="98"/>
    </row>
    <row r="92" spans="6:6" x14ac:dyDescent="0.3">
      <c r="F92" s="98"/>
    </row>
    <row r="93" spans="6:6" x14ac:dyDescent="0.3">
      <c r="F93" s="98"/>
    </row>
    <row r="94" spans="6:6" x14ac:dyDescent="0.3">
      <c r="F94" s="98"/>
    </row>
    <row r="95" spans="6:6" x14ac:dyDescent="0.3">
      <c r="F95" s="98"/>
    </row>
    <row r="96" spans="6:6" x14ac:dyDescent="0.3">
      <c r="F96" s="98"/>
    </row>
    <row r="97" spans="6:6" x14ac:dyDescent="0.3">
      <c r="F97" s="98"/>
    </row>
    <row r="98" spans="6:6" x14ac:dyDescent="0.3">
      <c r="F98" s="98"/>
    </row>
    <row r="99" spans="6:6" x14ac:dyDescent="0.3">
      <c r="F99" s="98"/>
    </row>
    <row r="100" spans="6:6" x14ac:dyDescent="0.3">
      <c r="F100" s="98"/>
    </row>
    <row r="101" spans="6:6" x14ac:dyDescent="0.3">
      <c r="F101" s="98"/>
    </row>
    <row r="102" spans="6:6" x14ac:dyDescent="0.3">
      <c r="F102" s="98"/>
    </row>
    <row r="103" spans="6:6" x14ac:dyDescent="0.3">
      <c r="F103" s="98"/>
    </row>
    <row r="104" spans="6:6" x14ac:dyDescent="0.3">
      <c r="F104" s="98"/>
    </row>
    <row r="105" spans="6:6" x14ac:dyDescent="0.3">
      <c r="F105" s="98"/>
    </row>
    <row r="106" spans="6:6" x14ac:dyDescent="0.3">
      <c r="F106" s="98"/>
    </row>
    <row r="107" spans="6:6" x14ac:dyDescent="0.3">
      <c r="F107" s="98"/>
    </row>
    <row r="108" spans="6:6" x14ac:dyDescent="0.3">
      <c r="F108" s="98"/>
    </row>
    <row r="109" spans="6:6" x14ac:dyDescent="0.3">
      <c r="F109" s="98"/>
    </row>
    <row r="110" spans="6:6" x14ac:dyDescent="0.3">
      <c r="F110" s="98"/>
    </row>
    <row r="111" spans="6:6" x14ac:dyDescent="0.3">
      <c r="F111" s="98"/>
    </row>
    <row r="112" spans="6:6" x14ac:dyDescent="0.3">
      <c r="F112" s="98"/>
    </row>
    <row r="113" spans="6:6" x14ac:dyDescent="0.3">
      <c r="F113" s="98"/>
    </row>
    <row r="114" spans="6:6" x14ac:dyDescent="0.3">
      <c r="F114" s="98"/>
    </row>
    <row r="115" spans="6:6" x14ac:dyDescent="0.3">
      <c r="F115" s="98"/>
    </row>
    <row r="116" spans="6:6" x14ac:dyDescent="0.3">
      <c r="F116" s="98"/>
    </row>
    <row r="117" spans="6:6" x14ac:dyDescent="0.3">
      <c r="F117" s="98"/>
    </row>
    <row r="118" spans="6:6" x14ac:dyDescent="0.3">
      <c r="F118" s="98"/>
    </row>
    <row r="119" spans="6:6" x14ac:dyDescent="0.3">
      <c r="F119" s="98"/>
    </row>
    <row r="120" spans="6:6" x14ac:dyDescent="0.3">
      <c r="F120" s="98"/>
    </row>
    <row r="121" spans="6:6" x14ac:dyDescent="0.3">
      <c r="F121" s="98"/>
    </row>
    <row r="122" spans="6:6" x14ac:dyDescent="0.3">
      <c r="F122" s="98"/>
    </row>
    <row r="123" spans="6:6" x14ac:dyDescent="0.3">
      <c r="F123" s="98"/>
    </row>
    <row r="124" spans="6:6" x14ac:dyDescent="0.3">
      <c r="F124" s="98"/>
    </row>
    <row r="125" spans="6:6" x14ac:dyDescent="0.3">
      <c r="F125" s="98"/>
    </row>
    <row r="126" spans="6:6" x14ac:dyDescent="0.3">
      <c r="F126" s="98"/>
    </row>
    <row r="127" spans="6:6" x14ac:dyDescent="0.3">
      <c r="F127" s="98"/>
    </row>
    <row r="128" spans="6:6" x14ac:dyDescent="0.3">
      <c r="F128" s="98"/>
    </row>
    <row r="129" spans="6:6" x14ac:dyDescent="0.3">
      <c r="F129" s="98"/>
    </row>
    <row r="130" spans="6:6" x14ac:dyDescent="0.3">
      <c r="F130" s="98"/>
    </row>
    <row r="131" spans="6:6" x14ac:dyDescent="0.3">
      <c r="F131" s="98"/>
    </row>
    <row r="132" spans="6:6" x14ac:dyDescent="0.3">
      <c r="F132" s="98"/>
    </row>
    <row r="133" spans="6:6" x14ac:dyDescent="0.3">
      <c r="F133" s="98"/>
    </row>
    <row r="134" spans="6:6" x14ac:dyDescent="0.3">
      <c r="F134" s="98"/>
    </row>
    <row r="135" spans="6:6" x14ac:dyDescent="0.3">
      <c r="F135" s="98"/>
    </row>
    <row r="136" spans="6:6" x14ac:dyDescent="0.3">
      <c r="F136" s="98"/>
    </row>
    <row r="137" spans="6:6" x14ac:dyDescent="0.3">
      <c r="F137" s="98"/>
    </row>
    <row r="138" spans="6:6" x14ac:dyDescent="0.3">
      <c r="F138" s="98"/>
    </row>
    <row r="139" spans="6:6" x14ac:dyDescent="0.3">
      <c r="F139" s="98"/>
    </row>
    <row r="140" spans="6:6" x14ac:dyDescent="0.3">
      <c r="F140" s="98"/>
    </row>
    <row r="141" spans="6:6" x14ac:dyDescent="0.3">
      <c r="F141" s="98"/>
    </row>
    <row r="142" spans="6:6" x14ac:dyDescent="0.3">
      <c r="F142" s="98"/>
    </row>
    <row r="143" spans="6:6" x14ac:dyDescent="0.3">
      <c r="F143" s="98"/>
    </row>
    <row r="144" spans="6:6" x14ac:dyDescent="0.3">
      <c r="F144" s="98"/>
    </row>
    <row r="145" spans="6:6" x14ac:dyDescent="0.3">
      <c r="F145" s="98"/>
    </row>
    <row r="146" spans="6:6" x14ac:dyDescent="0.3">
      <c r="F146" s="98"/>
    </row>
    <row r="147" spans="6:6" x14ac:dyDescent="0.3">
      <c r="F147" s="98"/>
    </row>
    <row r="148" spans="6:6" x14ac:dyDescent="0.3">
      <c r="F148" s="98"/>
    </row>
    <row r="149" spans="6:6" x14ac:dyDescent="0.3">
      <c r="F149" s="98"/>
    </row>
    <row r="150" spans="6:6" x14ac:dyDescent="0.3">
      <c r="F150" s="98"/>
    </row>
    <row r="151" spans="6:6" x14ac:dyDescent="0.3">
      <c r="F151" s="98"/>
    </row>
    <row r="152" spans="6:6" x14ac:dyDescent="0.3">
      <c r="F152" s="98"/>
    </row>
    <row r="153" spans="6:6" x14ac:dyDescent="0.3">
      <c r="F153" s="98"/>
    </row>
    <row r="154" spans="6:6" x14ac:dyDescent="0.3">
      <c r="F154" s="98"/>
    </row>
    <row r="155" spans="6:6" x14ac:dyDescent="0.3">
      <c r="F155" s="98"/>
    </row>
    <row r="156" spans="6:6" x14ac:dyDescent="0.3">
      <c r="F156" s="98"/>
    </row>
    <row r="157" spans="6:6" x14ac:dyDescent="0.3">
      <c r="F157" s="98"/>
    </row>
    <row r="158" spans="6:6" x14ac:dyDescent="0.3">
      <c r="F158" s="98"/>
    </row>
    <row r="159" spans="6:6" x14ac:dyDescent="0.3">
      <c r="F159" s="98"/>
    </row>
    <row r="160" spans="6:6" x14ac:dyDescent="0.3">
      <c r="F160" s="98"/>
    </row>
    <row r="161" spans="6:6" x14ac:dyDescent="0.3">
      <c r="F161" s="98"/>
    </row>
    <row r="162" spans="6:6" x14ac:dyDescent="0.3">
      <c r="F162" s="98"/>
    </row>
    <row r="163" spans="6:6" x14ac:dyDescent="0.3">
      <c r="F163" s="98"/>
    </row>
    <row r="164" spans="6:6" x14ac:dyDescent="0.3">
      <c r="F164" s="98"/>
    </row>
    <row r="165" spans="6:6" x14ac:dyDescent="0.3">
      <c r="F165" s="98"/>
    </row>
    <row r="166" spans="6:6" x14ac:dyDescent="0.3">
      <c r="F166" s="98"/>
    </row>
    <row r="167" spans="6:6" x14ac:dyDescent="0.3">
      <c r="F167" s="98"/>
    </row>
    <row r="168" spans="6:6" x14ac:dyDescent="0.3">
      <c r="F168" s="98"/>
    </row>
    <row r="169" spans="6:6" x14ac:dyDescent="0.3">
      <c r="F169" s="98"/>
    </row>
    <row r="170" spans="6:6" x14ac:dyDescent="0.3">
      <c r="F170" s="98"/>
    </row>
    <row r="171" spans="6:6" x14ac:dyDescent="0.3">
      <c r="F171" s="98"/>
    </row>
    <row r="172" spans="6:6" x14ac:dyDescent="0.3">
      <c r="F172" s="98"/>
    </row>
    <row r="173" spans="6:6" x14ac:dyDescent="0.3">
      <c r="F173" s="98"/>
    </row>
    <row r="174" spans="6:6" x14ac:dyDescent="0.3">
      <c r="F174" s="98"/>
    </row>
    <row r="175" spans="6:6" x14ac:dyDescent="0.3">
      <c r="F175" s="98"/>
    </row>
    <row r="176" spans="6:6" x14ac:dyDescent="0.3">
      <c r="F176" s="98"/>
    </row>
    <row r="177" spans="6:6" x14ac:dyDescent="0.3">
      <c r="F177" s="98"/>
    </row>
    <row r="178" spans="6:6" x14ac:dyDescent="0.3">
      <c r="F178" s="98"/>
    </row>
    <row r="179" spans="6:6" x14ac:dyDescent="0.3">
      <c r="F179" s="98"/>
    </row>
    <row r="180" spans="6:6" x14ac:dyDescent="0.3">
      <c r="F180" s="98"/>
    </row>
    <row r="181" spans="6:6" x14ac:dyDescent="0.3">
      <c r="F181" s="98"/>
    </row>
    <row r="182" spans="6:6" x14ac:dyDescent="0.3">
      <c r="F182" s="98"/>
    </row>
    <row r="183" spans="6:6" x14ac:dyDescent="0.3">
      <c r="F183" s="98"/>
    </row>
    <row r="184" spans="6:6" x14ac:dyDescent="0.3">
      <c r="F184" s="98"/>
    </row>
    <row r="185" spans="6:6" x14ac:dyDescent="0.3">
      <c r="F185" s="98"/>
    </row>
    <row r="186" spans="6:6" x14ac:dyDescent="0.3">
      <c r="F186" s="98"/>
    </row>
    <row r="187" spans="6:6" x14ac:dyDescent="0.3">
      <c r="F187" s="98"/>
    </row>
    <row r="188" spans="6:6" x14ac:dyDescent="0.3">
      <c r="F188" s="98"/>
    </row>
    <row r="189" spans="6:6" x14ac:dyDescent="0.3">
      <c r="F189" s="98"/>
    </row>
    <row r="190" spans="6:6" x14ac:dyDescent="0.3">
      <c r="F190" s="98"/>
    </row>
    <row r="191" spans="6:6" x14ac:dyDescent="0.3">
      <c r="F191" s="98"/>
    </row>
    <row r="192" spans="6:6" x14ac:dyDescent="0.3">
      <c r="F192" s="98"/>
    </row>
    <row r="193" spans="6:6" x14ac:dyDescent="0.3">
      <c r="F193" s="98"/>
    </row>
    <row r="194" spans="6:6" x14ac:dyDescent="0.3">
      <c r="F194" s="98"/>
    </row>
    <row r="195" spans="6:6" x14ac:dyDescent="0.3">
      <c r="F195" s="98"/>
    </row>
    <row r="196" spans="6:6" x14ac:dyDescent="0.3">
      <c r="F196" s="98"/>
    </row>
    <row r="197" spans="6:6" x14ac:dyDescent="0.3">
      <c r="F197" s="98"/>
    </row>
    <row r="198" spans="6:6" x14ac:dyDescent="0.3">
      <c r="F198" s="98"/>
    </row>
    <row r="199" spans="6:6" x14ac:dyDescent="0.3">
      <c r="F199" s="98"/>
    </row>
    <row r="200" spans="6:6" x14ac:dyDescent="0.3">
      <c r="F200" s="98"/>
    </row>
    <row r="201" spans="6:6" x14ac:dyDescent="0.3">
      <c r="F201" s="98"/>
    </row>
    <row r="202" spans="6:6" x14ac:dyDescent="0.3">
      <c r="F202" s="98"/>
    </row>
    <row r="203" spans="6:6" x14ac:dyDescent="0.3">
      <c r="F203" s="98"/>
    </row>
    <row r="204" spans="6:6" x14ac:dyDescent="0.3">
      <c r="F204" s="98"/>
    </row>
    <row r="205" spans="6:6" x14ac:dyDescent="0.3">
      <c r="F205" s="98"/>
    </row>
    <row r="206" spans="6:6" x14ac:dyDescent="0.3">
      <c r="F206" s="98"/>
    </row>
    <row r="207" spans="6:6" x14ac:dyDescent="0.3">
      <c r="F207" s="98"/>
    </row>
    <row r="208" spans="6:6" x14ac:dyDescent="0.3">
      <c r="F208" s="98"/>
    </row>
    <row r="209" spans="6:6" x14ac:dyDescent="0.3">
      <c r="F209" s="98"/>
    </row>
    <row r="210" spans="6:6" x14ac:dyDescent="0.3">
      <c r="F210" s="98"/>
    </row>
    <row r="211" spans="6:6" x14ac:dyDescent="0.3">
      <c r="F211" s="98"/>
    </row>
    <row r="212" spans="6:6" x14ac:dyDescent="0.3">
      <c r="F212" s="98"/>
    </row>
    <row r="213" spans="6:6" x14ac:dyDescent="0.3">
      <c r="F213" s="98"/>
    </row>
    <row r="214" spans="6:6" x14ac:dyDescent="0.3">
      <c r="F214" s="98"/>
    </row>
    <row r="215" spans="6:6" x14ac:dyDescent="0.3">
      <c r="F215" s="98"/>
    </row>
    <row r="216" spans="6:6" x14ac:dyDescent="0.3">
      <c r="F216" s="98"/>
    </row>
    <row r="217" spans="6:6" x14ac:dyDescent="0.3">
      <c r="F217" s="98"/>
    </row>
    <row r="218" spans="6:6" x14ac:dyDescent="0.3">
      <c r="F218" s="98"/>
    </row>
    <row r="219" spans="6:6" x14ac:dyDescent="0.3">
      <c r="F219" s="98"/>
    </row>
    <row r="220" spans="6:6" x14ac:dyDescent="0.3">
      <c r="F220" s="98"/>
    </row>
    <row r="221" spans="6:6" x14ac:dyDescent="0.3">
      <c r="F221" s="98"/>
    </row>
    <row r="222" spans="6:6" x14ac:dyDescent="0.3">
      <c r="F222" s="98"/>
    </row>
    <row r="223" spans="6:6" x14ac:dyDescent="0.3">
      <c r="F223" s="98"/>
    </row>
    <row r="224" spans="6:6" x14ac:dyDescent="0.3">
      <c r="F224" s="98"/>
    </row>
    <row r="225" spans="6:6" x14ac:dyDescent="0.3">
      <c r="F225" s="98"/>
    </row>
    <row r="226" spans="6:6" x14ac:dyDescent="0.3">
      <c r="F226" s="98"/>
    </row>
    <row r="227" spans="6:6" x14ac:dyDescent="0.3">
      <c r="F227" s="98"/>
    </row>
    <row r="228" spans="6:6" x14ac:dyDescent="0.3">
      <c r="F228" s="98"/>
    </row>
    <row r="229" spans="6:6" x14ac:dyDescent="0.3">
      <c r="F229" s="98"/>
    </row>
    <row r="230" spans="6:6" x14ac:dyDescent="0.3">
      <c r="F230" s="98"/>
    </row>
    <row r="231" spans="6:6" x14ac:dyDescent="0.3">
      <c r="F231" s="98"/>
    </row>
    <row r="232" spans="6:6" x14ac:dyDescent="0.3">
      <c r="F232" s="98"/>
    </row>
    <row r="233" spans="6:6" x14ac:dyDescent="0.3">
      <c r="F233" s="98"/>
    </row>
    <row r="234" spans="6:6" x14ac:dyDescent="0.3">
      <c r="F234" s="98"/>
    </row>
    <row r="235" spans="6:6" x14ac:dyDescent="0.3">
      <c r="F235" s="98"/>
    </row>
    <row r="236" spans="6:6" x14ac:dyDescent="0.3">
      <c r="F236" s="98"/>
    </row>
    <row r="237" spans="6:6" x14ac:dyDescent="0.3">
      <c r="F237" s="98"/>
    </row>
    <row r="238" spans="6:6" x14ac:dyDescent="0.3">
      <c r="F238" s="98"/>
    </row>
    <row r="239" spans="6:6" x14ac:dyDescent="0.3">
      <c r="F239" s="98"/>
    </row>
    <row r="240" spans="6:6" x14ac:dyDescent="0.3">
      <c r="F240" s="98"/>
    </row>
    <row r="241" spans="6:6" x14ac:dyDescent="0.3">
      <c r="F241" s="98"/>
    </row>
    <row r="242" spans="6:6" x14ac:dyDescent="0.3">
      <c r="F242" s="98"/>
    </row>
    <row r="243" spans="6:6" x14ac:dyDescent="0.3">
      <c r="F243" s="98"/>
    </row>
    <row r="244" spans="6:6" x14ac:dyDescent="0.3">
      <c r="F244" s="98"/>
    </row>
    <row r="245" spans="6:6" x14ac:dyDescent="0.3">
      <c r="F245" s="98"/>
    </row>
    <row r="246" spans="6:6" x14ac:dyDescent="0.3">
      <c r="F246" s="98"/>
    </row>
    <row r="247" spans="6:6" x14ac:dyDescent="0.3">
      <c r="F247" s="98"/>
    </row>
    <row r="248" spans="6:6" x14ac:dyDescent="0.3">
      <c r="F248" s="98"/>
    </row>
    <row r="249" spans="6:6" x14ac:dyDescent="0.3">
      <c r="F249" s="98"/>
    </row>
    <row r="250" spans="6:6" x14ac:dyDescent="0.3">
      <c r="F250" s="98"/>
    </row>
    <row r="251" spans="6:6" x14ac:dyDescent="0.3">
      <c r="F251" s="98"/>
    </row>
    <row r="252" spans="6:6" x14ac:dyDescent="0.3">
      <c r="F252" s="98"/>
    </row>
    <row r="253" spans="6:6" x14ac:dyDescent="0.3">
      <c r="F253" s="98"/>
    </row>
    <row r="254" spans="6:6" x14ac:dyDescent="0.3">
      <c r="F254" s="98"/>
    </row>
    <row r="255" spans="6:6" x14ac:dyDescent="0.3">
      <c r="F255" s="98"/>
    </row>
    <row r="256" spans="6:6" x14ac:dyDescent="0.3">
      <c r="F256" s="98"/>
    </row>
    <row r="257" spans="6:6" x14ac:dyDescent="0.3">
      <c r="F257" s="98"/>
    </row>
    <row r="258" spans="6:6" x14ac:dyDescent="0.3">
      <c r="F258" s="98"/>
    </row>
    <row r="259" spans="6:6" x14ac:dyDescent="0.3">
      <c r="F259" s="98"/>
    </row>
    <row r="260" spans="6:6" x14ac:dyDescent="0.3">
      <c r="F260" s="98"/>
    </row>
    <row r="261" spans="6:6" x14ac:dyDescent="0.3">
      <c r="F261" s="98"/>
    </row>
    <row r="262" spans="6:6" x14ac:dyDescent="0.3">
      <c r="F262" s="98"/>
    </row>
    <row r="263" spans="6:6" x14ac:dyDescent="0.3">
      <c r="F263" s="98"/>
    </row>
    <row r="264" spans="6:6" x14ac:dyDescent="0.3">
      <c r="F264" s="98"/>
    </row>
    <row r="265" spans="6:6" x14ac:dyDescent="0.3">
      <c r="F265" s="98"/>
    </row>
    <row r="266" spans="6:6" x14ac:dyDescent="0.3">
      <c r="F266" s="98"/>
    </row>
    <row r="267" spans="6:6" x14ac:dyDescent="0.3">
      <c r="F267" s="98"/>
    </row>
    <row r="268" spans="6:6" x14ac:dyDescent="0.3">
      <c r="F268" s="98"/>
    </row>
    <row r="269" spans="6:6" x14ac:dyDescent="0.3">
      <c r="F269" s="98"/>
    </row>
    <row r="270" spans="6:6" x14ac:dyDescent="0.3">
      <c r="F270" s="98"/>
    </row>
    <row r="271" spans="6:6" x14ac:dyDescent="0.3">
      <c r="F271" s="98"/>
    </row>
    <row r="272" spans="6:6" x14ac:dyDescent="0.3">
      <c r="F272" s="98"/>
    </row>
    <row r="273" spans="6:6" x14ac:dyDescent="0.3">
      <c r="F273" s="98"/>
    </row>
    <row r="274" spans="6:6" x14ac:dyDescent="0.3">
      <c r="F274" s="98"/>
    </row>
    <row r="275" spans="6:6" x14ac:dyDescent="0.3">
      <c r="F275" s="98"/>
    </row>
    <row r="276" spans="6:6" x14ac:dyDescent="0.3">
      <c r="F276" s="98"/>
    </row>
    <row r="277" spans="6:6" x14ac:dyDescent="0.3">
      <c r="F277" s="98"/>
    </row>
    <row r="278" spans="6:6" x14ac:dyDescent="0.3">
      <c r="F278" s="98"/>
    </row>
    <row r="279" spans="6:6" x14ac:dyDescent="0.3">
      <c r="F279" s="98"/>
    </row>
    <row r="280" spans="6:6" x14ac:dyDescent="0.3">
      <c r="F280" s="98"/>
    </row>
    <row r="281" spans="6:6" x14ac:dyDescent="0.3">
      <c r="F281" s="98"/>
    </row>
    <row r="282" spans="6:6" x14ac:dyDescent="0.3">
      <c r="F282" s="98"/>
    </row>
    <row r="283" spans="6:6" x14ac:dyDescent="0.3">
      <c r="F283" s="98"/>
    </row>
    <row r="284" spans="6:6" x14ac:dyDescent="0.3">
      <c r="F284" s="98"/>
    </row>
    <row r="285" spans="6:6" x14ac:dyDescent="0.3">
      <c r="F285" s="98"/>
    </row>
    <row r="286" spans="6:6" x14ac:dyDescent="0.3">
      <c r="F286" s="98"/>
    </row>
    <row r="287" spans="6:6" x14ac:dyDescent="0.3">
      <c r="F287" s="98"/>
    </row>
    <row r="288" spans="6:6" x14ac:dyDescent="0.3">
      <c r="F288" s="98"/>
    </row>
    <row r="289" spans="6:6" x14ac:dyDescent="0.3">
      <c r="F289" s="98"/>
    </row>
    <row r="290" spans="6:6" x14ac:dyDescent="0.3">
      <c r="F290" s="98"/>
    </row>
    <row r="291" spans="6:6" x14ac:dyDescent="0.3">
      <c r="F291" s="98"/>
    </row>
    <row r="292" spans="6:6" x14ac:dyDescent="0.3">
      <c r="F292" s="98"/>
    </row>
    <row r="293" spans="6:6" x14ac:dyDescent="0.3">
      <c r="F293" s="98"/>
    </row>
    <row r="294" spans="6:6" x14ac:dyDescent="0.3">
      <c r="F294" s="98"/>
    </row>
    <row r="295" spans="6:6" x14ac:dyDescent="0.3">
      <c r="F295" s="98"/>
    </row>
    <row r="296" spans="6:6" x14ac:dyDescent="0.3">
      <c r="F296" s="98"/>
    </row>
    <row r="297" spans="6:6" x14ac:dyDescent="0.3">
      <c r="F297" s="98"/>
    </row>
    <row r="298" spans="6:6" x14ac:dyDescent="0.3">
      <c r="F298" s="98"/>
    </row>
    <row r="299" spans="6:6" x14ac:dyDescent="0.3">
      <c r="F299" s="98"/>
    </row>
    <row r="300" spans="6:6" x14ac:dyDescent="0.3">
      <c r="F300" s="98"/>
    </row>
    <row r="301" spans="6:6" x14ac:dyDescent="0.3">
      <c r="F301" s="98"/>
    </row>
    <row r="302" spans="6:6" x14ac:dyDescent="0.3">
      <c r="F302" s="98"/>
    </row>
    <row r="303" spans="6:6" x14ac:dyDescent="0.3">
      <c r="F303" s="98"/>
    </row>
    <row r="304" spans="6:6" x14ac:dyDescent="0.3">
      <c r="F304" s="98"/>
    </row>
    <row r="305" spans="6:6" x14ac:dyDescent="0.3">
      <c r="F305" s="98"/>
    </row>
    <row r="306" spans="6:6" x14ac:dyDescent="0.3">
      <c r="F306" s="98"/>
    </row>
    <row r="307" spans="6:6" x14ac:dyDescent="0.3">
      <c r="F307" s="98"/>
    </row>
    <row r="308" spans="6:6" x14ac:dyDescent="0.3">
      <c r="F308" s="98"/>
    </row>
    <row r="309" spans="6:6" x14ac:dyDescent="0.3">
      <c r="F309" s="98"/>
    </row>
    <row r="310" spans="6:6" x14ac:dyDescent="0.3">
      <c r="F310" s="98"/>
    </row>
    <row r="311" spans="6:6" x14ac:dyDescent="0.3">
      <c r="F311" s="98"/>
    </row>
    <row r="312" spans="6:6" x14ac:dyDescent="0.3">
      <c r="F312" s="98"/>
    </row>
    <row r="313" spans="6:6" x14ac:dyDescent="0.3">
      <c r="F313" s="98"/>
    </row>
    <row r="314" spans="6:6" x14ac:dyDescent="0.3">
      <c r="F314" s="98"/>
    </row>
    <row r="315" spans="6:6" x14ac:dyDescent="0.3">
      <c r="F315" s="98"/>
    </row>
    <row r="316" spans="6:6" x14ac:dyDescent="0.3">
      <c r="F316" s="98"/>
    </row>
    <row r="317" spans="6:6" x14ac:dyDescent="0.3">
      <c r="F317" s="98"/>
    </row>
    <row r="318" spans="6:6" x14ac:dyDescent="0.3">
      <c r="F318" s="98"/>
    </row>
    <row r="319" spans="6:6" x14ac:dyDescent="0.3">
      <c r="F319" s="98"/>
    </row>
    <row r="320" spans="6:6" x14ac:dyDescent="0.3">
      <c r="F320" s="98"/>
    </row>
    <row r="321" spans="6:6" x14ac:dyDescent="0.3">
      <c r="F321" s="98"/>
    </row>
    <row r="322" spans="6:6" x14ac:dyDescent="0.3">
      <c r="F322" s="98"/>
    </row>
    <row r="323" spans="6:6" x14ac:dyDescent="0.3">
      <c r="F323" s="98"/>
    </row>
    <row r="324" spans="6:6" x14ac:dyDescent="0.3">
      <c r="F324" s="98"/>
    </row>
    <row r="325" spans="6:6" x14ac:dyDescent="0.3">
      <c r="F325" s="98"/>
    </row>
    <row r="326" spans="6:6" x14ac:dyDescent="0.3">
      <c r="F326" s="98"/>
    </row>
    <row r="327" spans="6:6" x14ac:dyDescent="0.3">
      <c r="F327" s="98"/>
    </row>
    <row r="328" spans="6:6" x14ac:dyDescent="0.3">
      <c r="F328" s="98"/>
    </row>
    <row r="329" spans="6:6" x14ac:dyDescent="0.3">
      <c r="F329" s="98"/>
    </row>
    <row r="330" spans="6:6" x14ac:dyDescent="0.3">
      <c r="F330" s="98"/>
    </row>
    <row r="331" spans="6:6" x14ac:dyDescent="0.3">
      <c r="F331" s="98"/>
    </row>
    <row r="332" spans="6:6" x14ac:dyDescent="0.3">
      <c r="F332" s="98"/>
    </row>
    <row r="333" spans="6:6" x14ac:dyDescent="0.3">
      <c r="F333" s="98"/>
    </row>
    <row r="334" spans="6:6" x14ac:dyDescent="0.3">
      <c r="F334" s="98"/>
    </row>
    <row r="335" spans="6:6" x14ac:dyDescent="0.3">
      <c r="F335" s="98"/>
    </row>
    <row r="336" spans="6:6" x14ac:dyDescent="0.3">
      <c r="F336" s="98"/>
    </row>
    <row r="337" spans="6:6" x14ac:dyDescent="0.3">
      <c r="F337" s="98"/>
    </row>
    <row r="338" spans="6:6" x14ac:dyDescent="0.3">
      <c r="F338" s="98"/>
    </row>
    <row r="339" spans="6:6" x14ac:dyDescent="0.3">
      <c r="F339" s="98"/>
    </row>
    <row r="340" spans="6:6" x14ac:dyDescent="0.3">
      <c r="F340" s="98"/>
    </row>
    <row r="341" spans="6:6" x14ac:dyDescent="0.3">
      <c r="F341" s="98"/>
    </row>
    <row r="342" spans="6:6" x14ac:dyDescent="0.3">
      <c r="F342" s="98"/>
    </row>
    <row r="343" spans="6:6" x14ac:dyDescent="0.3">
      <c r="F343" s="98"/>
    </row>
    <row r="344" spans="6:6" x14ac:dyDescent="0.3">
      <c r="F344" s="98"/>
    </row>
    <row r="345" spans="6:6" x14ac:dyDescent="0.3">
      <c r="F345" s="98"/>
    </row>
    <row r="346" spans="6:6" x14ac:dyDescent="0.3">
      <c r="F346" s="98"/>
    </row>
    <row r="347" spans="6:6" x14ac:dyDescent="0.3">
      <c r="F347" s="98"/>
    </row>
    <row r="348" spans="6:6" x14ac:dyDescent="0.3">
      <c r="F348" s="98"/>
    </row>
    <row r="349" spans="6:6" x14ac:dyDescent="0.3">
      <c r="F349" s="98"/>
    </row>
    <row r="350" spans="6:6" x14ac:dyDescent="0.3">
      <c r="F350" s="98"/>
    </row>
    <row r="351" spans="6:6" x14ac:dyDescent="0.3">
      <c r="F351" s="98"/>
    </row>
    <row r="352" spans="6:6" x14ac:dyDescent="0.3">
      <c r="F352" s="98"/>
    </row>
    <row r="353" spans="6:6" x14ac:dyDescent="0.3">
      <c r="F353" s="98"/>
    </row>
    <row r="354" spans="6:6" x14ac:dyDescent="0.3">
      <c r="F354" s="98"/>
    </row>
    <row r="355" spans="6:6" x14ac:dyDescent="0.3">
      <c r="F355" s="98"/>
    </row>
    <row r="356" spans="6:6" x14ac:dyDescent="0.3">
      <c r="F356" s="98"/>
    </row>
    <row r="357" spans="6:6" x14ac:dyDescent="0.3">
      <c r="F357" s="98"/>
    </row>
    <row r="358" spans="6:6" x14ac:dyDescent="0.3">
      <c r="F358" s="98"/>
    </row>
    <row r="359" spans="6:6" x14ac:dyDescent="0.3">
      <c r="F359" s="98"/>
    </row>
    <row r="360" spans="6:6" x14ac:dyDescent="0.3">
      <c r="F360" s="98"/>
    </row>
    <row r="361" spans="6:6" x14ac:dyDescent="0.3">
      <c r="F361" s="98"/>
    </row>
    <row r="362" spans="6:6" x14ac:dyDescent="0.3">
      <c r="F362" s="98"/>
    </row>
    <row r="363" spans="6:6" x14ac:dyDescent="0.3">
      <c r="F363" s="98"/>
    </row>
    <row r="364" spans="6:6" x14ac:dyDescent="0.3">
      <c r="F364" s="98"/>
    </row>
    <row r="365" spans="6:6" x14ac:dyDescent="0.3">
      <c r="F365" s="98"/>
    </row>
    <row r="366" spans="6:6" x14ac:dyDescent="0.3">
      <c r="F366" s="98"/>
    </row>
    <row r="367" spans="6:6" x14ac:dyDescent="0.3">
      <c r="F367" s="98"/>
    </row>
    <row r="368" spans="6:6" x14ac:dyDescent="0.3">
      <c r="F368" s="98"/>
    </row>
    <row r="369" spans="6:6" x14ac:dyDescent="0.3">
      <c r="F369" s="98"/>
    </row>
    <row r="370" spans="6:6" x14ac:dyDescent="0.3">
      <c r="F370" s="98"/>
    </row>
    <row r="371" spans="6:6" x14ac:dyDescent="0.3">
      <c r="F371" s="98"/>
    </row>
    <row r="372" spans="6:6" x14ac:dyDescent="0.3">
      <c r="F372" s="98"/>
    </row>
    <row r="373" spans="6:6" x14ac:dyDescent="0.3">
      <c r="F373" s="98"/>
    </row>
    <row r="374" spans="6:6" x14ac:dyDescent="0.3">
      <c r="F374" s="98"/>
    </row>
    <row r="375" spans="6:6" x14ac:dyDescent="0.3">
      <c r="F375" s="98"/>
    </row>
    <row r="376" spans="6:6" x14ac:dyDescent="0.3">
      <c r="F376" s="98"/>
    </row>
    <row r="377" spans="6:6" x14ac:dyDescent="0.3">
      <c r="F377" s="98"/>
    </row>
    <row r="378" spans="6:6" x14ac:dyDescent="0.3">
      <c r="F378" s="98"/>
    </row>
    <row r="379" spans="6:6" x14ac:dyDescent="0.3">
      <c r="F379" s="98"/>
    </row>
    <row r="380" spans="6:6" x14ac:dyDescent="0.3">
      <c r="F380" s="98"/>
    </row>
    <row r="381" spans="6:6" x14ac:dyDescent="0.3">
      <c r="F381" s="98"/>
    </row>
    <row r="382" spans="6:6" x14ac:dyDescent="0.3">
      <c r="F382" s="98"/>
    </row>
    <row r="383" spans="6:6" x14ac:dyDescent="0.3">
      <c r="F383" s="98"/>
    </row>
    <row r="384" spans="6:6" x14ac:dyDescent="0.3">
      <c r="F384" s="98"/>
    </row>
    <row r="385" spans="6:6" x14ac:dyDescent="0.3">
      <c r="F385" s="98"/>
    </row>
    <row r="386" spans="6:6" x14ac:dyDescent="0.3">
      <c r="F386" s="98"/>
    </row>
    <row r="387" spans="6:6" x14ac:dyDescent="0.3">
      <c r="F387" s="98"/>
    </row>
    <row r="388" spans="6:6" x14ac:dyDescent="0.3">
      <c r="F388" s="98"/>
    </row>
    <row r="389" spans="6:6" x14ac:dyDescent="0.3">
      <c r="F389" s="98"/>
    </row>
    <row r="390" spans="6:6" x14ac:dyDescent="0.3">
      <c r="F390" s="98"/>
    </row>
    <row r="391" spans="6:6" x14ac:dyDescent="0.3">
      <c r="F391" s="98"/>
    </row>
    <row r="392" spans="6:6" x14ac:dyDescent="0.3">
      <c r="F392" s="98"/>
    </row>
    <row r="393" spans="6:6" x14ac:dyDescent="0.3">
      <c r="F393" s="98"/>
    </row>
    <row r="394" spans="6:6" x14ac:dyDescent="0.3">
      <c r="F394" s="98"/>
    </row>
    <row r="395" spans="6:6" x14ac:dyDescent="0.3">
      <c r="F395" s="98"/>
    </row>
    <row r="396" spans="6:6" x14ac:dyDescent="0.3">
      <c r="F396" s="98"/>
    </row>
    <row r="397" spans="6:6" x14ac:dyDescent="0.3">
      <c r="F397" s="98"/>
    </row>
    <row r="398" spans="6:6" x14ac:dyDescent="0.3">
      <c r="F398" s="98"/>
    </row>
    <row r="399" spans="6:6" x14ac:dyDescent="0.3">
      <c r="F399" s="98"/>
    </row>
    <row r="400" spans="6:6" x14ac:dyDescent="0.3">
      <c r="F400" s="98"/>
    </row>
    <row r="401" spans="6:6" x14ac:dyDescent="0.3">
      <c r="F401" s="98"/>
    </row>
    <row r="402" spans="6:6" x14ac:dyDescent="0.3">
      <c r="F402" s="98"/>
    </row>
    <row r="403" spans="6:6" x14ac:dyDescent="0.3">
      <c r="F403" s="98"/>
    </row>
    <row r="404" spans="6:6" x14ac:dyDescent="0.3">
      <c r="F404" s="98"/>
    </row>
    <row r="405" spans="6:6" x14ac:dyDescent="0.3">
      <c r="F405" s="98"/>
    </row>
    <row r="406" spans="6:6" x14ac:dyDescent="0.3">
      <c r="F406" s="98"/>
    </row>
    <row r="407" spans="6:6" x14ac:dyDescent="0.3">
      <c r="F407" s="98"/>
    </row>
    <row r="408" spans="6:6" x14ac:dyDescent="0.3">
      <c r="F408" s="98"/>
    </row>
    <row r="409" spans="6:6" x14ac:dyDescent="0.3">
      <c r="F409" s="98"/>
    </row>
    <row r="410" spans="6:6" x14ac:dyDescent="0.3">
      <c r="F410" s="98"/>
    </row>
    <row r="411" spans="6:6" x14ac:dyDescent="0.3">
      <c r="F411" s="98"/>
    </row>
    <row r="412" spans="6:6" x14ac:dyDescent="0.3">
      <c r="F412" s="98"/>
    </row>
    <row r="413" spans="6:6" x14ac:dyDescent="0.3">
      <c r="F413" s="98"/>
    </row>
    <row r="414" spans="6:6" x14ac:dyDescent="0.3">
      <c r="F414" s="98"/>
    </row>
    <row r="415" spans="6:6" x14ac:dyDescent="0.3">
      <c r="F415" s="98"/>
    </row>
    <row r="416" spans="6:6" x14ac:dyDescent="0.3">
      <c r="F416" s="98"/>
    </row>
    <row r="417" spans="6:6" x14ac:dyDescent="0.3">
      <c r="F417" s="98"/>
    </row>
    <row r="418" spans="6:6" x14ac:dyDescent="0.3">
      <c r="F418" s="98"/>
    </row>
    <row r="419" spans="6:6" x14ac:dyDescent="0.3">
      <c r="F419" s="98"/>
    </row>
    <row r="420" spans="6:6" x14ac:dyDescent="0.3">
      <c r="F420" s="98"/>
    </row>
    <row r="421" spans="6:6" x14ac:dyDescent="0.3">
      <c r="F421" s="98"/>
    </row>
    <row r="422" spans="6:6" x14ac:dyDescent="0.3">
      <c r="F422" s="98"/>
    </row>
    <row r="423" spans="6:6" x14ac:dyDescent="0.3">
      <c r="F423" s="98"/>
    </row>
    <row r="424" spans="6:6" x14ac:dyDescent="0.3">
      <c r="F424" s="98"/>
    </row>
    <row r="425" spans="6:6" x14ac:dyDescent="0.3">
      <c r="F425" s="98"/>
    </row>
    <row r="426" spans="6:6" x14ac:dyDescent="0.3">
      <c r="F426" s="98"/>
    </row>
    <row r="427" spans="6:6" x14ac:dyDescent="0.3">
      <c r="F427" s="98"/>
    </row>
    <row r="428" spans="6:6" x14ac:dyDescent="0.3">
      <c r="F428" s="98"/>
    </row>
    <row r="429" spans="6:6" x14ac:dyDescent="0.3">
      <c r="F429" s="98"/>
    </row>
    <row r="430" spans="6:6" x14ac:dyDescent="0.3">
      <c r="F430" s="98"/>
    </row>
    <row r="431" spans="6:6" x14ac:dyDescent="0.3">
      <c r="F431" s="98"/>
    </row>
    <row r="432" spans="6:6" x14ac:dyDescent="0.3">
      <c r="F432" s="98"/>
    </row>
    <row r="433" spans="6:6" x14ac:dyDescent="0.3">
      <c r="F433" s="98"/>
    </row>
    <row r="434" spans="6:6" x14ac:dyDescent="0.3">
      <c r="F434" s="98"/>
    </row>
    <row r="435" spans="6:6" x14ac:dyDescent="0.3">
      <c r="F435" s="98"/>
    </row>
    <row r="436" spans="6:6" x14ac:dyDescent="0.3">
      <c r="F436" s="98"/>
    </row>
    <row r="437" spans="6:6" x14ac:dyDescent="0.3">
      <c r="F437" s="98"/>
    </row>
    <row r="438" spans="6:6" x14ac:dyDescent="0.3">
      <c r="F438" s="98"/>
    </row>
    <row r="439" spans="6:6" x14ac:dyDescent="0.3">
      <c r="F439" s="98"/>
    </row>
    <row r="440" spans="6:6" x14ac:dyDescent="0.3">
      <c r="F440" s="98"/>
    </row>
    <row r="441" spans="6:6" x14ac:dyDescent="0.3">
      <c r="F441" s="98"/>
    </row>
    <row r="442" spans="6:6" x14ac:dyDescent="0.3">
      <c r="F442" s="98"/>
    </row>
    <row r="443" spans="6:6" x14ac:dyDescent="0.3">
      <c r="F443" s="98"/>
    </row>
    <row r="444" spans="6:6" x14ac:dyDescent="0.3">
      <c r="F444" s="98"/>
    </row>
    <row r="445" spans="6:6" x14ac:dyDescent="0.3">
      <c r="F445" s="98"/>
    </row>
    <row r="446" spans="6:6" x14ac:dyDescent="0.3">
      <c r="F446" s="98"/>
    </row>
    <row r="447" spans="6:6" x14ac:dyDescent="0.3">
      <c r="F447" s="98"/>
    </row>
    <row r="448" spans="6:6" x14ac:dyDescent="0.3">
      <c r="F448" s="98"/>
    </row>
    <row r="449" spans="6:6" x14ac:dyDescent="0.3">
      <c r="F449" s="98"/>
    </row>
    <row r="450" spans="6:6" x14ac:dyDescent="0.3">
      <c r="F450" s="98"/>
    </row>
    <row r="451" spans="6:6" x14ac:dyDescent="0.3">
      <c r="F451" s="98"/>
    </row>
    <row r="452" spans="6:6" x14ac:dyDescent="0.3">
      <c r="F452" s="98"/>
    </row>
    <row r="453" spans="6:6" x14ac:dyDescent="0.3">
      <c r="F453" s="98"/>
    </row>
    <row r="454" spans="6:6" x14ac:dyDescent="0.3">
      <c r="F454" s="98"/>
    </row>
    <row r="455" spans="6:6" x14ac:dyDescent="0.3">
      <c r="F455" s="98"/>
    </row>
    <row r="456" spans="6:6" x14ac:dyDescent="0.3">
      <c r="F456" s="98"/>
    </row>
    <row r="457" spans="6:6" x14ac:dyDescent="0.3">
      <c r="F457" s="98"/>
    </row>
    <row r="458" spans="6:6" x14ac:dyDescent="0.3">
      <c r="F458" s="98"/>
    </row>
    <row r="459" spans="6:6" x14ac:dyDescent="0.3">
      <c r="F459" s="98"/>
    </row>
    <row r="460" spans="6:6" x14ac:dyDescent="0.3">
      <c r="F460" s="98"/>
    </row>
    <row r="461" spans="6:6" x14ac:dyDescent="0.3">
      <c r="F461" s="98"/>
    </row>
    <row r="462" spans="6:6" x14ac:dyDescent="0.3">
      <c r="F462" s="98"/>
    </row>
    <row r="463" spans="6:6" x14ac:dyDescent="0.3">
      <c r="F463" s="98"/>
    </row>
    <row r="464" spans="6:6" x14ac:dyDescent="0.3">
      <c r="F464" s="98"/>
    </row>
    <row r="465" spans="6:6" x14ac:dyDescent="0.3">
      <c r="F465" s="98"/>
    </row>
    <row r="466" spans="6:6" x14ac:dyDescent="0.3">
      <c r="F466" s="98"/>
    </row>
    <row r="467" spans="6:6" x14ac:dyDescent="0.3">
      <c r="F467" s="98"/>
    </row>
    <row r="468" spans="6:6" x14ac:dyDescent="0.3">
      <c r="F468" s="98"/>
    </row>
    <row r="469" spans="6:6" x14ac:dyDescent="0.3">
      <c r="F469" s="98"/>
    </row>
    <row r="470" spans="6:6" x14ac:dyDescent="0.3">
      <c r="F470" s="98"/>
    </row>
    <row r="471" spans="6:6" x14ac:dyDescent="0.3">
      <c r="F471" s="98"/>
    </row>
    <row r="472" spans="6:6" x14ac:dyDescent="0.3">
      <c r="F472" s="98"/>
    </row>
    <row r="473" spans="6:6" x14ac:dyDescent="0.3">
      <c r="F473" s="98"/>
    </row>
    <row r="474" spans="6:6" x14ac:dyDescent="0.3">
      <c r="F474" s="98"/>
    </row>
    <row r="475" spans="6:6" x14ac:dyDescent="0.3">
      <c r="F475" s="98"/>
    </row>
    <row r="476" spans="6:6" x14ac:dyDescent="0.3">
      <c r="F476" s="98"/>
    </row>
    <row r="477" spans="6:6" x14ac:dyDescent="0.3">
      <c r="F477" s="98"/>
    </row>
    <row r="478" spans="6:6" x14ac:dyDescent="0.3">
      <c r="F478" s="98"/>
    </row>
    <row r="479" spans="6:6" x14ac:dyDescent="0.3">
      <c r="F479" s="98"/>
    </row>
    <row r="480" spans="6:6" x14ac:dyDescent="0.3">
      <c r="F480" s="98"/>
    </row>
    <row r="481" spans="6:6" x14ac:dyDescent="0.3">
      <c r="F481" s="98"/>
    </row>
    <row r="482" spans="6:6" x14ac:dyDescent="0.3">
      <c r="F482" s="98"/>
    </row>
    <row r="483" spans="6:6" x14ac:dyDescent="0.3">
      <c r="F483" s="98"/>
    </row>
    <row r="484" spans="6:6" x14ac:dyDescent="0.3">
      <c r="F484" s="98"/>
    </row>
    <row r="485" spans="6:6" x14ac:dyDescent="0.3">
      <c r="F485" s="98"/>
    </row>
    <row r="486" spans="6:6" x14ac:dyDescent="0.3">
      <c r="F486" s="98"/>
    </row>
    <row r="487" spans="6:6" x14ac:dyDescent="0.3">
      <c r="F487" s="98"/>
    </row>
    <row r="488" spans="6:6" x14ac:dyDescent="0.3">
      <c r="F488" s="98"/>
    </row>
    <row r="489" spans="6:6" x14ac:dyDescent="0.3">
      <c r="F489" s="98"/>
    </row>
    <row r="490" spans="6:6" x14ac:dyDescent="0.3">
      <c r="F490" s="98"/>
    </row>
    <row r="491" spans="6:6" x14ac:dyDescent="0.3">
      <c r="F491" s="98"/>
    </row>
    <row r="492" spans="6:6" x14ac:dyDescent="0.3">
      <c r="F492" s="98"/>
    </row>
    <row r="493" spans="6:6" x14ac:dyDescent="0.3">
      <c r="F493" s="98"/>
    </row>
    <row r="494" spans="6:6" x14ac:dyDescent="0.3">
      <c r="F494" s="98"/>
    </row>
    <row r="495" spans="6:6" x14ac:dyDescent="0.3">
      <c r="F495" s="98"/>
    </row>
    <row r="496" spans="6:6" x14ac:dyDescent="0.3">
      <c r="F496" s="98"/>
    </row>
    <row r="497" spans="6:6" x14ac:dyDescent="0.3">
      <c r="F497" s="98"/>
    </row>
    <row r="498" spans="6:6" x14ac:dyDescent="0.3">
      <c r="F498" s="98"/>
    </row>
    <row r="499" spans="6:6" x14ac:dyDescent="0.3">
      <c r="F499" s="98"/>
    </row>
    <row r="500" spans="6:6" x14ac:dyDescent="0.3">
      <c r="F500" s="98"/>
    </row>
    <row r="501" spans="6:6" x14ac:dyDescent="0.3">
      <c r="F501" s="98"/>
    </row>
    <row r="502" spans="6:6" x14ac:dyDescent="0.3">
      <c r="F502" s="98"/>
    </row>
    <row r="503" spans="6:6" x14ac:dyDescent="0.3">
      <c r="F503" s="98"/>
    </row>
    <row r="504" spans="6:6" x14ac:dyDescent="0.3">
      <c r="F504" s="98"/>
    </row>
    <row r="505" spans="6:6" x14ac:dyDescent="0.3">
      <c r="F505" s="98"/>
    </row>
    <row r="506" spans="6:6" x14ac:dyDescent="0.3">
      <c r="F506" s="98"/>
    </row>
    <row r="507" spans="6:6" x14ac:dyDescent="0.3">
      <c r="F507" s="98"/>
    </row>
    <row r="508" spans="6:6" x14ac:dyDescent="0.3">
      <c r="F508" s="98"/>
    </row>
    <row r="509" spans="6:6" x14ac:dyDescent="0.3">
      <c r="F509" s="98"/>
    </row>
    <row r="510" spans="6:6" x14ac:dyDescent="0.3">
      <c r="F510" s="98"/>
    </row>
    <row r="511" spans="6:6" x14ac:dyDescent="0.3">
      <c r="F511" s="98"/>
    </row>
    <row r="512" spans="6:6" x14ac:dyDescent="0.3">
      <c r="F512" s="98"/>
    </row>
    <row r="513" spans="6:6" x14ac:dyDescent="0.3">
      <c r="F513" s="98"/>
    </row>
    <row r="514" spans="6:6" x14ac:dyDescent="0.3">
      <c r="F514" s="98"/>
    </row>
    <row r="515" spans="6:6" x14ac:dyDescent="0.3">
      <c r="F515" s="98"/>
    </row>
    <row r="516" spans="6:6" x14ac:dyDescent="0.3">
      <c r="F516" s="98"/>
    </row>
    <row r="517" spans="6:6" x14ac:dyDescent="0.3">
      <c r="F517" s="98"/>
    </row>
    <row r="518" spans="6:6" x14ac:dyDescent="0.3">
      <c r="F518" s="98"/>
    </row>
    <row r="519" spans="6:6" x14ac:dyDescent="0.3">
      <c r="F519" s="98"/>
    </row>
    <row r="520" spans="6:6" x14ac:dyDescent="0.3">
      <c r="F520" s="98"/>
    </row>
    <row r="521" spans="6:6" x14ac:dyDescent="0.3">
      <c r="F521" s="98"/>
    </row>
    <row r="522" spans="6:6" x14ac:dyDescent="0.3">
      <c r="F522" s="98"/>
    </row>
    <row r="523" spans="6:6" x14ac:dyDescent="0.3">
      <c r="F523" s="98"/>
    </row>
    <row r="524" spans="6:6" x14ac:dyDescent="0.3">
      <c r="F524" s="98"/>
    </row>
    <row r="525" spans="6:6" x14ac:dyDescent="0.3">
      <c r="F525" s="98"/>
    </row>
    <row r="526" spans="6:6" x14ac:dyDescent="0.3">
      <c r="F526" s="98"/>
    </row>
    <row r="527" spans="6:6" x14ac:dyDescent="0.3">
      <c r="F527" s="98"/>
    </row>
    <row r="528" spans="6:6" x14ac:dyDescent="0.3">
      <c r="F528" s="98"/>
    </row>
    <row r="529" spans="6:6" x14ac:dyDescent="0.3">
      <c r="F529" s="98"/>
    </row>
    <row r="530" spans="6:6" x14ac:dyDescent="0.3">
      <c r="F530" s="98"/>
    </row>
    <row r="531" spans="6:6" x14ac:dyDescent="0.3">
      <c r="F531" s="98"/>
    </row>
    <row r="532" spans="6:6" x14ac:dyDescent="0.3">
      <c r="F532" s="98"/>
    </row>
    <row r="533" spans="6:6" x14ac:dyDescent="0.3">
      <c r="F533" s="98"/>
    </row>
    <row r="534" spans="6:6" x14ac:dyDescent="0.3">
      <c r="F534" s="98"/>
    </row>
    <row r="535" spans="6:6" x14ac:dyDescent="0.3">
      <c r="F535" s="98"/>
    </row>
    <row r="536" spans="6:6" x14ac:dyDescent="0.3">
      <c r="F536" s="98"/>
    </row>
    <row r="537" spans="6:6" x14ac:dyDescent="0.3">
      <c r="F537" s="98"/>
    </row>
    <row r="538" spans="6:6" x14ac:dyDescent="0.3">
      <c r="F538" s="98"/>
    </row>
    <row r="539" spans="6:6" x14ac:dyDescent="0.3">
      <c r="F539" s="98"/>
    </row>
    <row r="540" spans="6:6" x14ac:dyDescent="0.3">
      <c r="F540" s="98"/>
    </row>
    <row r="541" spans="6:6" x14ac:dyDescent="0.3">
      <c r="F541" s="98"/>
    </row>
    <row r="542" spans="6:6" x14ac:dyDescent="0.3">
      <c r="F542" s="98"/>
    </row>
    <row r="543" spans="6:6" x14ac:dyDescent="0.3">
      <c r="F543" s="98"/>
    </row>
    <row r="544" spans="6:6" x14ac:dyDescent="0.3">
      <c r="F544" s="98"/>
    </row>
    <row r="545" spans="6:6" x14ac:dyDescent="0.3">
      <c r="F545" s="98"/>
    </row>
    <row r="546" spans="6:6" x14ac:dyDescent="0.3">
      <c r="F546" s="98"/>
    </row>
    <row r="547" spans="6:6" x14ac:dyDescent="0.3">
      <c r="F547" s="98"/>
    </row>
    <row r="548" spans="6:6" x14ac:dyDescent="0.3">
      <c r="F548" s="98"/>
    </row>
    <row r="549" spans="6:6" x14ac:dyDescent="0.3">
      <c r="F549" s="98"/>
    </row>
    <row r="550" spans="6:6" x14ac:dyDescent="0.3">
      <c r="F550" s="98"/>
    </row>
    <row r="551" spans="6:6" x14ac:dyDescent="0.3">
      <c r="F551" s="98"/>
    </row>
    <row r="552" spans="6:6" x14ac:dyDescent="0.3">
      <c r="F552" s="98"/>
    </row>
    <row r="553" spans="6:6" x14ac:dyDescent="0.3">
      <c r="F553" s="98"/>
    </row>
    <row r="554" spans="6:6" x14ac:dyDescent="0.3">
      <c r="F554" s="98"/>
    </row>
    <row r="555" spans="6:6" x14ac:dyDescent="0.3">
      <c r="F555" s="98"/>
    </row>
    <row r="556" spans="6:6" x14ac:dyDescent="0.3">
      <c r="F556" s="98"/>
    </row>
    <row r="557" spans="6:6" x14ac:dyDescent="0.3">
      <c r="F557" s="98"/>
    </row>
    <row r="558" spans="6:6" x14ac:dyDescent="0.3">
      <c r="F558" s="98"/>
    </row>
    <row r="559" spans="6:6" x14ac:dyDescent="0.3">
      <c r="F559" s="98"/>
    </row>
    <row r="560" spans="6:6" x14ac:dyDescent="0.3">
      <c r="F560" s="98"/>
    </row>
    <row r="561" spans="6:6" x14ac:dyDescent="0.3">
      <c r="F561" s="98"/>
    </row>
    <row r="562" spans="6:6" x14ac:dyDescent="0.3">
      <c r="F562" s="98"/>
    </row>
    <row r="563" spans="6:6" x14ac:dyDescent="0.3">
      <c r="F563" s="98"/>
    </row>
    <row r="564" spans="6:6" x14ac:dyDescent="0.3">
      <c r="F564" s="98"/>
    </row>
    <row r="565" spans="6:6" x14ac:dyDescent="0.3">
      <c r="F565" s="98"/>
    </row>
    <row r="566" spans="6:6" x14ac:dyDescent="0.3">
      <c r="F566" s="98"/>
    </row>
    <row r="567" spans="6:6" x14ac:dyDescent="0.3">
      <c r="F567" s="98"/>
    </row>
    <row r="568" spans="6:6" x14ac:dyDescent="0.3">
      <c r="F568" s="98"/>
    </row>
    <row r="569" spans="6:6" x14ac:dyDescent="0.3">
      <c r="F569" s="98"/>
    </row>
    <row r="570" spans="6:6" x14ac:dyDescent="0.3">
      <c r="F570" s="98"/>
    </row>
    <row r="571" spans="6:6" x14ac:dyDescent="0.3">
      <c r="F571" s="98"/>
    </row>
    <row r="572" spans="6:6" x14ac:dyDescent="0.3">
      <c r="F572" s="98"/>
    </row>
    <row r="573" spans="6:6" x14ac:dyDescent="0.3">
      <c r="F573" s="98"/>
    </row>
    <row r="574" spans="6:6" x14ac:dyDescent="0.3">
      <c r="F574" s="98"/>
    </row>
    <row r="575" spans="6:6" x14ac:dyDescent="0.3">
      <c r="F575" s="98"/>
    </row>
    <row r="576" spans="6:6" x14ac:dyDescent="0.3">
      <c r="F576" s="98"/>
    </row>
    <row r="577" spans="6:6" x14ac:dyDescent="0.3">
      <c r="F577" s="98"/>
    </row>
    <row r="578" spans="6:6" x14ac:dyDescent="0.3">
      <c r="F578" s="98"/>
    </row>
    <row r="579" spans="6:6" x14ac:dyDescent="0.3">
      <c r="F579" s="98"/>
    </row>
    <row r="580" spans="6:6" x14ac:dyDescent="0.3">
      <c r="F580" s="98"/>
    </row>
    <row r="581" spans="6:6" x14ac:dyDescent="0.3">
      <c r="F581" s="98"/>
    </row>
    <row r="582" spans="6:6" x14ac:dyDescent="0.3">
      <c r="F582" s="98"/>
    </row>
    <row r="583" spans="6:6" x14ac:dyDescent="0.3">
      <c r="F583" s="98"/>
    </row>
    <row r="584" spans="6:6" x14ac:dyDescent="0.3">
      <c r="F584" s="98"/>
    </row>
    <row r="585" spans="6:6" x14ac:dyDescent="0.3">
      <c r="F585" s="98"/>
    </row>
    <row r="586" spans="6:6" x14ac:dyDescent="0.3">
      <c r="F586" s="98"/>
    </row>
    <row r="587" spans="6:6" x14ac:dyDescent="0.3">
      <c r="F587" s="98"/>
    </row>
    <row r="588" spans="6:6" x14ac:dyDescent="0.3">
      <c r="F588" s="98"/>
    </row>
    <row r="589" spans="6:6" x14ac:dyDescent="0.3">
      <c r="F589" s="98"/>
    </row>
    <row r="590" spans="6:6" x14ac:dyDescent="0.3">
      <c r="F590" s="98"/>
    </row>
    <row r="591" spans="6:6" x14ac:dyDescent="0.3">
      <c r="F591" s="98"/>
    </row>
    <row r="592" spans="6:6" x14ac:dyDescent="0.3">
      <c r="F592" s="98"/>
    </row>
    <row r="593" spans="6:6" x14ac:dyDescent="0.3">
      <c r="F593" s="98"/>
    </row>
    <row r="594" spans="6:6" x14ac:dyDescent="0.3">
      <c r="F594" s="98"/>
    </row>
    <row r="595" spans="6:6" x14ac:dyDescent="0.3">
      <c r="F595" s="98"/>
    </row>
    <row r="596" spans="6:6" x14ac:dyDescent="0.3">
      <c r="F596" s="98"/>
    </row>
    <row r="597" spans="6:6" x14ac:dyDescent="0.3">
      <c r="F597" s="98"/>
    </row>
    <row r="598" spans="6:6" x14ac:dyDescent="0.3">
      <c r="F598" s="98"/>
    </row>
    <row r="599" spans="6:6" x14ac:dyDescent="0.3">
      <c r="F599" s="98"/>
    </row>
    <row r="600" spans="6:6" x14ac:dyDescent="0.3">
      <c r="F600" s="98"/>
    </row>
    <row r="601" spans="6:6" x14ac:dyDescent="0.3">
      <c r="F601" s="98"/>
    </row>
    <row r="602" spans="6:6" x14ac:dyDescent="0.3">
      <c r="F602" s="98"/>
    </row>
    <row r="603" spans="6:6" x14ac:dyDescent="0.3">
      <c r="F603" s="98"/>
    </row>
    <row r="604" spans="6:6" x14ac:dyDescent="0.3">
      <c r="F604" s="98"/>
    </row>
    <row r="605" spans="6:6" x14ac:dyDescent="0.3">
      <c r="F605" s="98"/>
    </row>
    <row r="606" spans="6:6" x14ac:dyDescent="0.3">
      <c r="F606" s="98"/>
    </row>
    <row r="607" spans="6:6" x14ac:dyDescent="0.3">
      <c r="F607" s="98"/>
    </row>
    <row r="608" spans="6:6" x14ac:dyDescent="0.3">
      <c r="F608" s="98"/>
    </row>
    <row r="609" spans="6:6" x14ac:dyDescent="0.3">
      <c r="F609" s="98"/>
    </row>
    <row r="610" spans="6:6" x14ac:dyDescent="0.3">
      <c r="F610" s="98"/>
    </row>
    <row r="611" spans="6:6" x14ac:dyDescent="0.3">
      <c r="F611" s="98"/>
    </row>
    <row r="612" spans="6:6" x14ac:dyDescent="0.3">
      <c r="F612" s="98"/>
    </row>
    <row r="613" spans="6:6" x14ac:dyDescent="0.3">
      <c r="F613" s="98"/>
    </row>
    <row r="614" spans="6:6" x14ac:dyDescent="0.3">
      <c r="F614" s="98"/>
    </row>
    <row r="615" spans="6:6" x14ac:dyDescent="0.3">
      <c r="F615" s="98"/>
    </row>
    <row r="616" spans="6:6" x14ac:dyDescent="0.3">
      <c r="F616" s="98"/>
    </row>
    <row r="617" spans="6:6" x14ac:dyDescent="0.3">
      <c r="F617" s="98"/>
    </row>
    <row r="618" spans="6:6" x14ac:dyDescent="0.3">
      <c r="F618" s="98"/>
    </row>
    <row r="619" spans="6:6" x14ac:dyDescent="0.3">
      <c r="F619" s="98"/>
    </row>
    <row r="620" spans="6:6" x14ac:dyDescent="0.3">
      <c r="F620" s="98"/>
    </row>
    <row r="621" spans="6:6" x14ac:dyDescent="0.3">
      <c r="F621" s="98"/>
    </row>
    <row r="622" spans="6:6" x14ac:dyDescent="0.3">
      <c r="F622" s="98"/>
    </row>
    <row r="623" spans="6:6" x14ac:dyDescent="0.3">
      <c r="F623" s="98"/>
    </row>
    <row r="624" spans="6:6" x14ac:dyDescent="0.3">
      <c r="F624" s="98"/>
    </row>
    <row r="625" spans="6:6" x14ac:dyDescent="0.3">
      <c r="F625" s="98"/>
    </row>
    <row r="626" spans="6:6" x14ac:dyDescent="0.3">
      <c r="F626" s="98"/>
    </row>
    <row r="627" spans="6:6" x14ac:dyDescent="0.3">
      <c r="F627" s="98"/>
    </row>
    <row r="628" spans="6:6" x14ac:dyDescent="0.3">
      <c r="F628" s="98"/>
    </row>
    <row r="629" spans="6:6" x14ac:dyDescent="0.3">
      <c r="F629" s="98"/>
    </row>
    <row r="630" spans="6:6" x14ac:dyDescent="0.3">
      <c r="F630" s="98"/>
    </row>
    <row r="631" spans="6:6" x14ac:dyDescent="0.3">
      <c r="F631" s="98"/>
    </row>
    <row r="632" spans="6:6" x14ac:dyDescent="0.3">
      <c r="F632" s="98"/>
    </row>
    <row r="633" spans="6:6" x14ac:dyDescent="0.3">
      <c r="F633" s="98"/>
    </row>
    <row r="634" spans="6:6" x14ac:dyDescent="0.3">
      <c r="F634" s="98"/>
    </row>
    <row r="635" spans="6:6" x14ac:dyDescent="0.3">
      <c r="F635" s="98"/>
    </row>
    <row r="636" spans="6:6" x14ac:dyDescent="0.3">
      <c r="F636" s="98"/>
    </row>
    <row r="637" spans="6:6" x14ac:dyDescent="0.3">
      <c r="F637" s="98"/>
    </row>
    <row r="638" spans="6:6" x14ac:dyDescent="0.3">
      <c r="F638" s="98"/>
    </row>
    <row r="639" spans="6:6" x14ac:dyDescent="0.3">
      <c r="F639" s="98"/>
    </row>
    <row r="640" spans="6:6" x14ac:dyDescent="0.3">
      <c r="F640" s="98"/>
    </row>
    <row r="641" spans="6:6" x14ac:dyDescent="0.3">
      <c r="F641" s="98"/>
    </row>
    <row r="642" spans="6:6" x14ac:dyDescent="0.3">
      <c r="F642" s="98"/>
    </row>
    <row r="643" spans="6:6" x14ac:dyDescent="0.3">
      <c r="F643" s="98"/>
    </row>
    <row r="644" spans="6:6" x14ac:dyDescent="0.3">
      <c r="F644" s="98"/>
    </row>
    <row r="645" spans="6:6" x14ac:dyDescent="0.3">
      <c r="F645" s="98"/>
    </row>
    <row r="646" spans="6:6" x14ac:dyDescent="0.3">
      <c r="F646" s="98"/>
    </row>
    <row r="647" spans="6:6" x14ac:dyDescent="0.3">
      <c r="F647" s="98"/>
    </row>
    <row r="648" spans="6:6" x14ac:dyDescent="0.3">
      <c r="F648" s="98"/>
    </row>
    <row r="649" spans="6:6" x14ac:dyDescent="0.3">
      <c r="F649" s="98"/>
    </row>
    <row r="650" spans="6:6" x14ac:dyDescent="0.3">
      <c r="F650" s="98"/>
    </row>
    <row r="651" spans="6:6" x14ac:dyDescent="0.3">
      <c r="F651" s="98"/>
    </row>
    <row r="652" spans="6:6" x14ac:dyDescent="0.3">
      <c r="F652" s="98"/>
    </row>
    <row r="653" spans="6:6" x14ac:dyDescent="0.3">
      <c r="F653" s="98"/>
    </row>
    <row r="654" spans="6:6" x14ac:dyDescent="0.3">
      <c r="F654" s="98"/>
    </row>
    <row r="655" spans="6:6" x14ac:dyDescent="0.3">
      <c r="F655" s="98"/>
    </row>
    <row r="656" spans="6:6" x14ac:dyDescent="0.3">
      <c r="F656" s="98"/>
    </row>
    <row r="657" spans="6:6" x14ac:dyDescent="0.3">
      <c r="F657" s="98"/>
    </row>
    <row r="658" spans="6:6" x14ac:dyDescent="0.3">
      <c r="F658" s="98"/>
    </row>
    <row r="659" spans="6:6" x14ac:dyDescent="0.3">
      <c r="F659" s="98"/>
    </row>
    <row r="660" spans="6:6" x14ac:dyDescent="0.3">
      <c r="F660" s="98"/>
    </row>
    <row r="661" spans="6:6" x14ac:dyDescent="0.3">
      <c r="F661" s="98"/>
    </row>
    <row r="662" spans="6:6" x14ac:dyDescent="0.3">
      <c r="F662" s="98"/>
    </row>
    <row r="663" spans="6:6" x14ac:dyDescent="0.3">
      <c r="F663" s="98"/>
    </row>
    <row r="664" spans="6:6" x14ac:dyDescent="0.3">
      <c r="F664" s="98"/>
    </row>
    <row r="665" spans="6:6" x14ac:dyDescent="0.3">
      <c r="F665" s="98"/>
    </row>
    <row r="666" spans="6:6" x14ac:dyDescent="0.3">
      <c r="F666" s="98"/>
    </row>
    <row r="667" spans="6:6" x14ac:dyDescent="0.3">
      <c r="F667" s="98"/>
    </row>
    <row r="668" spans="6:6" x14ac:dyDescent="0.3">
      <c r="F668" s="98"/>
    </row>
    <row r="669" spans="6:6" x14ac:dyDescent="0.3">
      <c r="F669" s="98"/>
    </row>
    <row r="670" spans="6:6" x14ac:dyDescent="0.3">
      <c r="F670" s="98"/>
    </row>
    <row r="671" spans="6:6" x14ac:dyDescent="0.3">
      <c r="F671" s="98"/>
    </row>
    <row r="672" spans="6:6" x14ac:dyDescent="0.3">
      <c r="F672" s="98"/>
    </row>
    <row r="673" spans="6:6" x14ac:dyDescent="0.3">
      <c r="F673" s="98"/>
    </row>
    <row r="674" spans="6:6" x14ac:dyDescent="0.3">
      <c r="F674" s="98"/>
    </row>
    <row r="675" spans="6:6" x14ac:dyDescent="0.3">
      <c r="F675" s="98"/>
    </row>
    <row r="676" spans="6:6" x14ac:dyDescent="0.3">
      <c r="F676" s="98"/>
    </row>
    <row r="677" spans="6:6" x14ac:dyDescent="0.3">
      <c r="F677" s="98"/>
    </row>
    <row r="678" spans="6:6" x14ac:dyDescent="0.3">
      <c r="F678" s="98"/>
    </row>
    <row r="679" spans="6:6" x14ac:dyDescent="0.3">
      <c r="F679" s="98"/>
    </row>
    <row r="680" spans="6:6" x14ac:dyDescent="0.3">
      <c r="F680" s="98"/>
    </row>
    <row r="681" spans="6:6" x14ac:dyDescent="0.3">
      <c r="F681" s="98"/>
    </row>
    <row r="682" spans="6:6" x14ac:dyDescent="0.3">
      <c r="F682" s="98"/>
    </row>
    <row r="683" spans="6:6" x14ac:dyDescent="0.3">
      <c r="F683" s="98"/>
    </row>
    <row r="684" spans="6:6" x14ac:dyDescent="0.3">
      <c r="F684" s="98"/>
    </row>
    <row r="685" spans="6:6" x14ac:dyDescent="0.3">
      <c r="F685" s="98"/>
    </row>
    <row r="686" spans="6:6" x14ac:dyDescent="0.3">
      <c r="F686" s="98"/>
    </row>
    <row r="687" spans="6:6" x14ac:dyDescent="0.3">
      <c r="F687" s="98"/>
    </row>
    <row r="688" spans="6:6" x14ac:dyDescent="0.3">
      <c r="F688" s="98"/>
    </row>
    <row r="689" spans="6:6" x14ac:dyDescent="0.3">
      <c r="F689" s="98"/>
    </row>
    <row r="690" spans="6:6" x14ac:dyDescent="0.3">
      <c r="F690" s="98"/>
    </row>
    <row r="691" spans="6:6" x14ac:dyDescent="0.3">
      <c r="F691" s="98"/>
    </row>
    <row r="692" spans="6:6" x14ac:dyDescent="0.3">
      <c r="F692" s="98"/>
    </row>
    <row r="693" spans="6:6" x14ac:dyDescent="0.3">
      <c r="F693" s="98"/>
    </row>
    <row r="694" spans="6:6" x14ac:dyDescent="0.3">
      <c r="F694" s="98"/>
    </row>
    <row r="695" spans="6:6" x14ac:dyDescent="0.3">
      <c r="F695" s="98"/>
    </row>
    <row r="696" spans="6:6" x14ac:dyDescent="0.3">
      <c r="F696" s="98"/>
    </row>
    <row r="697" spans="6:6" x14ac:dyDescent="0.3">
      <c r="F697" s="98"/>
    </row>
    <row r="698" spans="6:6" x14ac:dyDescent="0.3">
      <c r="F698" s="98"/>
    </row>
    <row r="699" spans="6:6" x14ac:dyDescent="0.3">
      <c r="F699" s="98"/>
    </row>
    <row r="700" spans="6:6" x14ac:dyDescent="0.3">
      <c r="F700" s="98"/>
    </row>
    <row r="701" spans="6:6" x14ac:dyDescent="0.3">
      <c r="F701" s="98"/>
    </row>
    <row r="702" spans="6:6" x14ac:dyDescent="0.3">
      <c r="F702" s="98"/>
    </row>
    <row r="703" spans="6:6" x14ac:dyDescent="0.3">
      <c r="F703" s="98"/>
    </row>
    <row r="704" spans="6:6" x14ac:dyDescent="0.3">
      <c r="F704" s="98"/>
    </row>
    <row r="705" spans="6:6" x14ac:dyDescent="0.3">
      <c r="F705" s="98"/>
    </row>
    <row r="706" spans="6:6" x14ac:dyDescent="0.3">
      <c r="F706" s="98"/>
    </row>
    <row r="707" spans="6:6" x14ac:dyDescent="0.3">
      <c r="F707" s="98"/>
    </row>
    <row r="708" spans="6:6" x14ac:dyDescent="0.3">
      <c r="F708" s="98"/>
    </row>
    <row r="709" spans="6:6" x14ac:dyDescent="0.3">
      <c r="F709" s="98"/>
    </row>
    <row r="710" spans="6:6" x14ac:dyDescent="0.3">
      <c r="F710" s="98"/>
    </row>
    <row r="711" spans="6:6" x14ac:dyDescent="0.3">
      <c r="F711" s="98"/>
    </row>
    <row r="712" spans="6:6" x14ac:dyDescent="0.3">
      <c r="F712" s="98"/>
    </row>
    <row r="713" spans="6:6" x14ac:dyDescent="0.3">
      <c r="F713" s="98"/>
    </row>
    <row r="714" spans="6:6" x14ac:dyDescent="0.3">
      <c r="F714" s="98"/>
    </row>
    <row r="715" spans="6:6" x14ac:dyDescent="0.3">
      <c r="F715" s="98"/>
    </row>
    <row r="716" spans="6:6" x14ac:dyDescent="0.3">
      <c r="F716" s="98"/>
    </row>
    <row r="717" spans="6:6" x14ac:dyDescent="0.3">
      <c r="F717" s="98"/>
    </row>
    <row r="718" spans="6:6" x14ac:dyDescent="0.3">
      <c r="F718" s="98"/>
    </row>
    <row r="719" spans="6:6" x14ac:dyDescent="0.3">
      <c r="F719" s="98"/>
    </row>
    <row r="720" spans="6:6" x14ac:dyDescent="0.3">
      <c r="F720" s="98"/>
    </row>
    <row r="721" spans="6:6" x14ac:dyDescent="0.3">
      <c r="F721" s="98"/>
    </row>
    <row r="722" spans="6:6" x14ac:dyDescent="0.3">
      <c r="F722" s="98"/>
    </row>
    <row r="723" spans="6:6" x14ac:dyDescent="0.3">
      <c r="F723" s="98"/>
    </row>
    <row r="724" spans="6:6" x14ac:dyDescent="0.3">
      <c r="F724" s="98"/>
    </row>
    <row r="725" spans="6:6" x14ac:dyDescent="0.3">
      <c r="F725" s="98"/>
    </row>
    <row r="726" spans="6:6" x14ac:dyDescent="0.3">
      <c r="F726" s="98"/>
    </row>
    <row r="727" spans="6:6" x14ac:dyDescent="0.3">
      <c r="F727" s="98"/>
    </row>
    <row r="728" spans="6:6" x14ac:dyDescent="0.3">
      <c r="F728" s="98"/>
    </row>
    <row r="729" spans="6:6" x14ac:dyDescent="0.3">
      <c r="F729" s="98"/>
    </row>
    <row r="730" spans="6:6" x14ac:dyDescent="0.3">
      <c r="F730" s="98"/>
    </row>
    <row r="731" spans="6:6" x14ac:dyDescent="0.3">
      <c r="F731" s="98"/>
    </row>
    <row r="732" spans="6:6" x14ac:dyDescent="0.3">
      <c r="F732" s="98"/>
    </row>
    <row r="733" spans="6:6" x14ac:dyDescent="0.3">
      <c r="F733" s="98"/>
    </row>
    <row r="734" spans="6:6" x14ac:dyDescent="0.3">
      <c r="F734" s="98"/>
    </row>
    <row r="735" spans="6:6" x14ac:dyDescent="0.3">
      <c r="F735" s="98"/>
    </row>
    <row r="736" spans="6:6" x14ac:dyDescent="0.3">
      <c r="F736" s="98"/>
    </row>
    <row r="737" spans="6:6" x14ac:dyDescent="0.3">
      <c r="F737" s="98"/>
    </row>
    <row r="738" spans="6:6" x14ac:dyDescent="0.3">
      <c r="F738" s="98"/>
    </row>
    <row r="739" spans="6:6" x14ac:dyDescent="0.3">
      <c r="F739" s="98"/>
    </row>
    <row r="740" spans="6:6" x14ac:dyDescent="0.3">
      <c r="F740" s="98"/>
    </row>
    <row r="741" spans="6:6" x14ac:dyDescent="0.3">
      <c r="F741" s="98"/>
    </row>
    <row r="742" spans="6:6" x14ac:dyDescent="0.3">
      <c r="F742" s="98"/>
    </row>
    <row r="743" spans="6:6" x14ac:dyDescent="0.3">
      <c r="F743" s="98"/>
    </row>
    <row r="744" spans="6:6" x14ac:dyDescent="0.3">
      <c r="F744" s="98"/>
    </row>
    <row r="745" spans="6:6" x14ac:dyDescent="0.3">
      <c r="F745" s="98"/>
    </row>
    <row r="746" spans="6:6" x14ac:dyDescent="0.3">
      <c r="F746" s="98"/>
    </row>
    <row r="747" spans="6:6" x14ac:dyDescent="0.3">
      <c r="F747" s="98"/>
    </row>
    <row r="748" spans="6:6" x14ac:dyDescent="0.3">
      <c r="F748" s="98"/>
    </row>
    <row r="749" spans="6:6" x14ac:dyDescent="0.3">
      <c r="F749" s="98"/>
    </row>
    <row r="750" spans="6:6" x14ac:dyDescent="0.3">
      <c r="F750" s="98"/>
    </row>
    <row r="751" spans="6:6" x14ac:dyDescent="0.3">
      <c r="F751" s="98"/>
    </row>
    <row r="752" spans="6:6" x14ac:dyDescent="0.3">
      <c r="F752" s="98"/>
    </row>
    <row r="753" spans="6:6" x14ac:dyDescent="0.3">
      <c r="F753" s="98"/>
    </row>
    <row r="754" spans="6:6" x14ac:dyDescent="0.3">
      <c r="F754" s="98"/>
    </row>
    <row r="755" spans="6:6" x14ac:dyDescent="0.3">
      <c r="F755" s="98"/>
    </row>
    <row r="756" spans="6:6" x14ac:dyDescent="0.3">
      <c r="F756" s="98"/>
    </row>
    <row r="757" spans="6:6" x14ac:dyDescent="0.3">
      <c r="F757" s="98"/>
    </row>
    <row r="758" spans="6:6" x14ac:dyDescent="0.3">
      <c r="F758" s="98"/>
    </row>
    <row r="759" spans="6:6" x14ac:dyDescent="0.3">
      <c r="F759" s="98"/>
    </row>
    <row r="760" spans="6:6" x14ac:dyDescent="0.3">
      <c r="F760" s="98"/>
    </row>
    <row r="761" spans="6:6" x14ac:dyDescent="0.3">
      <c r="F761" s="98"/>
    </row>
    <row r="762" spans="6:6" x14ac:dyDescent="0.3">
      <c r="F762" s="98"/>
    </row>
    <row r="763" spans="6:6" x14ac:dyDescent="0.3">
      <c r="F763" s="98"/>
    </row>
    <row r="764" spans="6:6" x14ac:dyDescent="0.3">
      <c r="F764" s="98"/>
    </row>
    <row r="765" spans="6:6" x14ac:dyDescent="0.3">
      <c r="F765" s="98"/>
    </row>
    <row r="766" spans="6:6" x14ac:dyDescent="0.3">
      <c r="F766" s="98"/>
    </row>
    <row r="767" spans="6:6" x14ac:dyDescent="0.3">
      <c r="F767" s="98"/>
    </row>
    <row r="768" spans="6:6" x14ac:dyDescent="0.3">
      <c r="F768" s="98"/>
    </row>
    <row r="769" spans="6:6" x14ac:dyDescent="0.3">
      <c r="F769" s="98"/>
    </row>
    <row r="770" spans="6:6" x14ac:dyDescent="0.3">
      <c r="F770" s="98"/>
    </row>
    <row r="771" spans="6:6" x14ac:dyDescent="0.3">
      <c r="F771" s="98"/>
    </row>
    <row r="772" spans="6:6" x14ac:dyDescent="0.3">
      <c r="F772" s="98"/>
    </row>
    <row r="773" spans="6:6" x14ac:dyDescent="0.3">
      <c r="F773" s="98"/>
    </row>
    <row r="774" spans="6:6" x14ac:dyDescent="0.3">
      <c r="F774" s="98"/>
    </row>
    <row r="775" spans="6:6" x14ac:dyDescent="0.3">
      <c r="F775" s="98"/>
    </row>
    <row r="776" spans="6:6" x14ac:dyDescent="0.3">
      <c r="F776" s="98"/>
    </row>
    <row r="777" spans="6:6" x14ac:dyDescent="0.3">
      <c r="F777" s="98"/>
    </row>
    <row r="778" spans="6:6" x14ac:dyDescent="0.3">
      <c r="F778" s="98"/>
    </row>
    <row r="779" spans="6:6" x14ac:dyDescent="0.3">
      <c r="F779" s="98"/>
    </row>
    <row r="780" spans="6:6" x14ac:dyDescent="0.3">
      <c r="F780" s="98"/>
    </row>
    <row r="781" spans="6:6" x14ac:dyDescent="0.3">
      <c r="F781" s="98"/>
    </row>
    <row r="782" spans="6:6" x14ac:dyDescent="0.3">
      <c r="F782" s="98"/>
    </row>
    <row r="783" spans="6:6" x14ac:dyDescent="0.3">
      <c r="F783" s="98"/>
    </row>
    <row r="784" spans="6:6" x14ac:dyDescent="0.3">
      <c r="F784" s="98"/>
    </row>
    <row r="785" spans="6:6" x14ac:dyDescent="0.3">
      <c r="F785" s="98"/>
    </row>
    <row r="786" spans="6:6" x14ac:dyDescent="0.3">
      <c r="F786" s="98"/>
    </row>
    <row r="787" spans="6:6" x14ac:dyDescent="0.3">
      <c r="F787" s="98"/>
    </row>
    <row r="788" spans="6:6" x14ac:dyDescent="0.3">
      <c r="F788" s="98"/>
    </row>
    <row r="789" spans="6:6" x14ac:dyDescent="0.3">
      <c r="F789" s="98"/>
    </row>
    <row r="790" spans="6:6" x14ac:dyDescent="0.3">
      <c r="F790" s="98"/>
    </row>
    <row r="791" spans="6:6" x14ac:dyDescent="0.3">
      <c r="F791" s="98"/>
    </row>
    <row r="792" spans="6:6" x14ac:dyDescent="0.3">
      <c r="F792" s="98"/>
    </row>
    <row r="793" spans="6:6" x14ac:dyDescent="0.3">
      <c r="F793" s="98"/>
    </row>
    <row r="794" spans="6:6" x14ac:dyDescent="0.3">
      <c r="F794" s="98"/>
    </row>
    <row r="795" spans="6:6" x14ac:dyDescent="0.3">
      <c r="F795" s="98"/>
    </row>
    <row r="796" spans="6:6" x14ac:dyDescent="0.3">
      <c r="F796" s="98"/>
    </row>
    <row r="797" spans="6:6" x14ac:dyDescent="0.3">
      <c r="F797" s="98"/>
    </row>
    <row r="798" spans="6:6" x14ac:dyDescent="0.3">
      <c r="F798" s="98"/>
    </row>
    <row r="799" spans="6:6" x14ac:dyDescent="0.3">
      <c r="F799" s="98"/>
    </row>
    <row r="800" spans="6:6" x14ac:dyDescent="0.3">
      <c r="F800" s="98"/>
    </row>
    <row r="801" spans="6:6" x14ac:dyDescent="0.3">
      <c r="F801" s="98"/>
    </row>
    <row r="802" spans="6:6" x14ac:dyDescent="0.3">
      <c r="F802" s="98"/>
    </row>
    <row r="803" spans="6:6" x14ac:dyDescent="0.3">
      <c r="F803" s="98"/>
    </row>
    <row r="804" spans="6:6" x14ac:dyDescent="0.3">
      <c r="F804" s="98"/>
    </row>
    <row r="805" spans="6:6" x14ac:dyDescent="0.3">
      <c r="F805" s="98"/>
    </row>
    <row r="806" spans="6:6" x14ac:dyDescent="0.3">
      <c r="F806" s="98"/>
    </row>
    <row r="807" spans="6:6" x14ac:dyDescent="0.3">
      <c r="F807" s="98"/>
    </row>
    <row r="808" spans="6:6" x14ac:dyDescent="0.3">
      <c r="F808" s="98"/>
    </row>
    <row r="809" spans="6:6" x14ac:dyDescent="0.3">
      <c r="F809" s="98"/>
    </row>
    <row r="810" spans="6:6" x14ac:dyDescent="0.3">
      <c r="F810" s="98"/>
    </row>
    <row r="811" spans="6:6" x14ac:dyDescent="0.3">
      <c r="F811" s="98"/>
    </row>
    <row r="812" spans="6:6" x14ac:dyDescent="0.3">
      <c r="F812" s="98"/>
    </row>
    <row r="813" spans="6:6" x14ac:dyDescent="0.3">
      <c r="F813" s="98"/>
    </row>
    <row r="814" spans="6:6" x14ac:dyDescent="0.3">
      <c r="F814" s="98"/>
    </row>
    <row r="815" spans="6:6" x14ac:dyDescent="0.3">
      <c r="F815" s="98"/>
    </row>
    <row r="816" spans="6:6" x14ac:dyDescent="0.3">
      <c r="F816" s="98"/>
    </row>
    <row r="817" spans="6:6" x14ac:dyDescent="0.3">
      <c r="F817" s="98"/>
    </row>
    <row r="818" spans="6:6" x14ac:dyDescent="0.3">
      <c r="F818" s="98"/>
    </row>
    <row r="819" spans="6:6" x14ac:dyDescent="0.3">
      <c r="F819" s="98"/>
    </row>
    <row r="820" spans="6:6" x14ac:dyDescent="0.3">
      <c r="F820" s="98"/>
    </row>
    <row r="821" spans="6:6" x14ac:dyDescent="0.3">
      <c r="F821" s="98"/>
    </row>
    <row r="822" spans="6:6" x14ac:dyDescent="0.3">
      <c r="F822" s="98"/>
    </row>
    <row r="823" spans="6:6" x14ac:dyDescent="0.3">
      <c r="F823" s="98"/>
    </row>
    <row r="824" spans="6:6" x14ac:dyDescent="0.3">
      <c r="F824" s="98"/>
    </row>
    <row r="825" spans="6:6" x14ac:dyDescent="0.3">
      <c r="F825" s="98"/>
    </row>
    <row r="826" spans="6:6" x14ac:dyDescent="0.3">
      <c r="F826" s="98"/>
    </row>
    <row r="827" spans="6:6" x14ac:dyDescent="0.3">
      <c r="F827" s="98"/>
    </row>
    <row r="828" spans="6:6" x14ac:dyDescent="0.3">
      <c r="F828" s="98"/>
    </row>
    <row r="829" spans="6:6" x14ac:dyDescent="0.3">
      <c r="F829" s="98"/>
    </row>
    <row r="830" spans="6:6" x14ac:dyDescent="0.3">
      <c r="F830" s="98"/>
    </row>
    <row r="831" spans="6:6" x14ac:dyDescent="0.3">
      <c r="F831" s="98"/>
    </row>
    <row r="832" spans="6:6" x14ac:dyDescent="0.3">
      <c r="F832" s="98"/>
    </row>
    <row r="833" spans="6:6" x14ac:dyDescent="0.3">
      <c r="F833" s="98"/>
    </row>
    <row r="834" spans="6:6" x14ac:dyDescent="0.3">
      <c r="F834" s="98"/>
    </row>
    <row r="835" spans="6:6" x14ac:dyDescent="0.3">
      <c r="F835" s="98"/>
    </row>
    <row r="836" spans="6:6" x14ac:dyDescent="0.3">
      <c r="F836" s="98"/>
    </row>
    <row r="837" spans="6:6" x14ac:dyDescent="0.3">
      <c r="F837" s="98"/>
    </row>
    <row r="838" spans="6:6" x14ac:dyDescent="0.3">
      <c r="F838" s="98"/>
    </row>
    <row r="839" spans="6:6" x14ac:dyDescent="0.3">
      <c r="F839" s="98"/>
    </row>
    <row r="840" spans="6:6" x14ac:dyDescent="0.3">
      <c r="F840" s="98"/>
    </row>
    <row r="841" spans="6:6" x14ac:dyDescent="0.3">
      <c r="F841" s="98"/>
    </row>
    <row r="842" spans="6:6" x14ac:dyDescent="0.3">
      <c r="F842" s="98"/>
    </row>
    <row r="843" spans="6:6" x14ac:dyDescent="0.3">
      <c r="F843" s="98"/>
    </row>
    <row r="844" spans="6:6" x14ac:dyDescent="0.3">
      <c r="F844" s="98"/>
    </row>
    <row r="845" spans="6:6" x14ac:dyDescent="0.3">
      <c r="F845" s="98"/>
    </row>
    <row r="846" spans="6:6" x14ac:dyDescent="0.3">
      <c r="F846" s="98"/>
    </row>
    <row r="847" spans="6:6" x14ac:dyDescent="0.3">
      <c r="F847" s="98"/>
    </row>
    <row r="848" spans="6:6" x14ac:dyDescent="0.3">
      <c r="F848" s="98"/>
    </row>
    <row r="849" spans="6:6" x14ac:dyDescent="0.3">
      <c r="F849" s="98"/>
    </row>
    <row r="850" spans="6:6" x14ac:dyDescent="0.3">
      <c r="F850" s="98"/>
    </row>
    <row r="851" spans="6:6" x14ac:dyDescent="0.3">
      <c r="F851" s="98"/>
    </row>
    <row r="852" spans="6:6" x14ac:dyDescent="0.3">
      <c r="F852" s="98"/>
    </row>
    <row r="853" spans="6:6" x14ac:dyDescent="0.3">
      <c r="F853" s="98"/>
    </row>
    <row r="854" spans="6:6" x14ac:dyDescent="0.3">
      <c r="F854" s="98"/>
    </row>
    <row r="855" spans="6:6" x14ac:dyDescent="0.3">
      <c r="F855" s="98"/>
    </row>
    <row r="856" spans="6:6" x14ac:dyDescent="0.3">
      <c r="F856" s="98"/>
    </row>
    <row r="857" spans="6:6" x14ac:dyDescent="0.3">
      <c r="F857" s="98"/>
    </row>
    <row r="858" spans="6:6" x14ac:dyDescent="0.3">
      <c r="F858" s="98"/>
    </row>
    <row r="859" spans="6:6" x14ac:dyDescent="0.3">
      <c r="F859" s="98"/>
    </row>
    <row r="860" spans="6:6" x14ac:dyDescent="0.3">
      <c r="F860" s="98"/>
    </row>
    <row r="861" spans="6:6" x14ac:dyDescent="0.3">
      <c r="F861" s="98"/>
    </row>
    <row r="862" spans="6:6" x14ac:dyDescent="0.3">
      <c r="F862" s="98"/>
    </row>
    <row r="863" spans="6:6" x14ac:dyDescent="0.3">
      <c r="F863" s="98"/>
    </row>
    <row r="864" spans="6:6" x14ac:dyDescent="0.3">
      <c r="F864" s="98"/>
    </row>
    <row r="865" spans="6:6" x14ac:dyDescent="0.3">
      <c r="F865" s="98"/>
    </row>
    <row r="866" spans="6:6" x14ac:dyDescent="0.3">
      <c r="F866" s="98"/>
    </row>
    <row r="867" spans="6:6" x14ac:dyDescent="0.3">
      <c r="F867" s="98"/>
    </row>
    <row r="868" spans="6:6" x14ac:dyDescent="0.3">
      <c r="F868" s="98"/>
    </row>
    <row r="869" spans="6:6" x14ac:dyDescent="0.3">
      <c r="F869" s="98"/>
    </row>
    <row r="870" spans="6:6" x14ac:dyDescent="0.3">
      <c r="F870" s="98"/>
    </row>
    <row r="871" spans="6:6" x14ac:dyDescent="0.3">
      <c r="F871" s="98"/>
    </row>
    <row r="872" spans="6:6" x14ac:dyDescent="0.3">
      <c r="F872" s="98"/>
    </row>
    <row r="873" spans="6:6" x14ac:dyDescent="0.3">
      <c r="F873" s="98"/>
    </row>
    <row r="874" spans="6:6" x14ac:dyDescent="0.3">
      <c r="F874" s="98"/>
    </row>
    <row r="875" spans="6:6" x14ac:dyDescent="0.3">
      <c r="F875" s="98"/>
    </row>
    <row r="876" spans="6:6" x14ac:dyDescent="0.3">
      <c r="F876" s="98"/>
    </row>
    <row r="877" spans="6:6" x14ac:dyDescent="0.3">
      <c r="F877" s="98"/>
    </row>
    <row r="878" spans="6:6" x14ac:dyDescent="0.3">
      <c r="F878" s="98"/>
    </row>
    <row r="879" spans="6:6" x14ac:dyDescent="0.3">
      <c r="F879" s="98"/>
    </row>
    <row r="880" spans="6:6" x14ac:dyDescent="0.3">
      <c r="F880" s="98"/>
    </row>
    <row r="881" spans="6:6" x14ac:dyDescent="0.3">
      <c r="F881" s="98"/>
    </row>
    <row r="882" spans="6:6" x14ac:dyDescent="0.3">
      <c r="F882" s="98"/>
    </row>
    <row r="883" spans="6:6" x14ac:dyDescent="0.3">
      <c r="F883" s="98"/>
    </row>
    <row r="884" spans="6:6" x14ac:dyDescent="0.3">
      <c r="F884" s="98"/>
    </row>
    <row r="885" spans="6:6" x14ac:dyDescent="0.3">
      <c r="F885" s="98"/>
    </row>
    <row r="886" spans="6:6" x14ac:dyDescent="0.3">
      <c r="F886" s="98"/>
    </row>
    <row r="887" spans="6:6" x14ac:dyDescent="0.3">
      <c r="F887" s="98"/>
    </row>
    <row r="888" spans="6:6" x14ac:dyDescent="0.3">
      <c r="F888" s="98"/>
    </row>
    <row r="889" spans="6:6" x14ac:dyDescent="0.3">
      <c r="F889" s="98"/>
    </row>
    <row r="890" spans="6:6" x14ac:dyDescent="0.3">
      <c r="F890" s="98"/>
    </row>
    <row r="891" spans="6:6" x14ac:dyDescent="0.3">
      <c r="F891" s="98"/>
    </row>
    <row r="892" spans="6:6" x14ac:dyDescent="0.3">
      <c r="F892" s="98"/>
    </row>
    <row r="893" spans="6:6" x14ac:dyDescent="0.3">
      <c r="F893" s="98"/>
    </row>
    <row r="894" spans="6:6" x14ac:dyDescent="0.3">
      <c r="F894" s="98"/>
    </row>
    <row r="895" spans="6:6" x14ac:dyDescent="0.3">
      <c r="F895" s="98"/>
    </row>
    <row r="896" spans="6:6" x14ac:dyDescent="0.3">
      <c r="F896" s="98"/>
    </row>
    <row r="897" spans="6:6" x14ac:dyDescent="0.3">
      <c r="F897" s="98"/>
    </row>
    <row r="898" spans="6:6" x14ac:dyDescent="0.3">
      <c r="F898" s="98"/>
    </row>
    <row r="899" spans="6:6" x14ac:dyDescent="0.3">
      <c r="F899" s="98"/>
    </row>
    <row r="900" spans="6:6" x14ac:dyDescent="0.3">
      <c r="F900" s="98"/>
    </row>
    <row r="901" spans="6:6" x14ac:dyDescent="0.3">
      <c r="F901" s="98"/>
    </row>
    <row r="902" spans="6:6" x14ac:dyDescent="0.3">
      <c r="F902" s="98"/>
    </row>
    <row r="903" spans="6:6" x14ac:dyDescent="0.3">
      <c r="F903" s="98"/>
    </row>
    <row r="904" spans="6:6" x14ac:dyDescent="0.3">
      <c r="F904" s="98"/>
    </row>
    <row r="905" spans="6:6" x14ac:dyDescent="0.3">
      <c r="F905" s="98"/>
    </row>
    <row r="906" spans="6:6" x14ac:dyDescent="0.3">
      <c r="F906" s="98"/>
    </row>
    <row r="907" spans="6:6" x14ac:dyDescent="0.3">
      <c r="F907" s="98"/>
    </row>
    <row r="908" spans="6:6" x14ac:dyDescent="0.3">
      <c r="F908" s="98"/>
    </row>
    <row r="909" spans="6:6" x14ac:dyDescent="0.3">
      <c r="F909" s="98"/>
    </row>
    <row r="910" spans="6:6" x14ac:dyDescent="0.3">
      <c r="F910" s="98"/>
    </row>
    <row r="911" spans="6:6" x14ac:dyDescent="0.3">
      <c r="F911" s="98"/>
    </row>
    <row r="912" spans="6:6" x14ac:dyDescent="0.3">
      <c r="F912" s="98"/>
    </row>
    <row r="913" spans="6:6" x14ac:dyDescent="0.3">
      <c r="F913" s="98"/>
    </row>
    <row r="914" spans="6:6" x14ac:dyDescent="0.3">
      <c r="F914" s="98"/>
    </row>
    <row r="915" spans="6:6" x14ac:dyDescent="0.3">
      <c r="F915" s="98"/>
    </row>
    <row r="916" spans="6:6" x14ac:dyDescent="0.3">
      <c r="F916" s="98"/>
    </row>
    <row r="917" spans="6:6" x14ac:dyDescent="0.3">
      <c r="F917" s="98"/>
    </row>
    <row r="918" spans="6:6" x14ac:dyDescent="0.3">
      <c r="F918" s="98"/>
    </row>
    <row r="919" spans="6:6" x14ac:dyDescent="0.3">
      <c r="F919" s="98"/>
    </row>
    <row r="920" spans="6:6" x14ac:dyDescent="0.3">
      <c r="F920" s="98"/>
    </row>
    <row r="921" spans="6:6" x14ac:dyDescent="0.3">
      <c r="F921" s="98"/>
    </row>
    <row r="922" spans="6:6" x14ac:dyDescent="0.3">
      <c r="F922" s="98"/>
    </row>
    <row r="923" spans="6:6" x14ac:dyDescent="0.3">
      <c r="F923" s="98"/>
    </row>
    <row r="924" spans="6:6" x14ac:dyDescent="0.3">
      <c r="F924" s="98"/>
    </row>
    <row r="925" spans="6:6" x14ac:dyDescent="0.3">
      <c r="F925" s="98"/>
    </row>
    <row r="926" spans="6:6" x14ac:dyDescent="0.3">
      <c r="F926" s="98"/>
    </row>
    <row r="927" spans="6:6" x14ac:dyDescent="0.3">
      <c r="F927" s="98"/>
    </row>
    <row r="928" spans="6:6" x14ac:dyDescent="0.3">
      <c r="F928" s="98"/>
    </row>
    <row r="929" spans="6:6" x14ac:dyDescent="0.3">
      <c r="F929" s="98"/>
    </row>
    <row r="930" spans="6:6" x14ac:dyDescent="0.3">
      <c r="F930" s="98"/>
    </row>
    <row r="931" spans="6:6" x14ac:dyDescent="0.3">
      <c r="F931" s="98"/>
    </row>
    <row r="932" spans="6:6" x14ac:dyDescent="0.3">
      <c r="F932" s="98"/>
    </row>
    <row r="933" spans="6:6" x14ac:dyDescent="0.3">
      <c r="F933" s="98"/>
    </row>
    <row r="934" spans="6:6" x14ac:dyDescent="0.3">
      <c r="F934" s="98"/>
    </row>
    <row r="935" spans="6:6" x14ac:dyDescent="0.3">
      <c r="F935" s="98"/>
    </row>
    <row r="936" spans="6:6" x14ac:dyDescent="0.3">
      <c r="F936" s="98"/>
    </row>
    <row r="937" spans="6:6" x14ac:dyDescent="0.3">
      <c r="F937" s="98"/>
    </row>
    <row r="938" spans="6:6" x14ac:dyDescent="0.3">
      <c r="F938" s="98"/>
    </row>
    <row r="939" spans="6:6" x14ac:dyDescent="0.3">
      <c r="F939" s="98"/>
    </row>
    <row r="940" spans="6:6" x14ac:dyDescent="0.3">
      <c r="F940" s="98"/>
    </row>
    <row r="941" spans="6:6" x14ac:dyDescent="0.3">
      <c r="F941" s="98"/>
    </row>
    <row r="942" spans="6:6" x14ac:dyDescent="0.3">
      <c r="F942" s="98"/>
    </row>
    <row r="943" spans="6:6" x14ac:dyDescent="0.3">
      <c r="F943" s="98"/>
    </row>
    <row r="944" spans="6:6" x14ac:dyDescent="0.3">
      <c r="F944" s="98"/>
    </row>
    <row r="945" spans="6:6" x14ac:dyDescent="0.3">
      <c r="F945" s="98"/>
    </row>
    <row r="946" spans="6:6" x14ac:dyDescent="0.3">
      <c r="F946" s="98"/>
    </row>
    <row r="947" spans="6:6" x14ac:dyDescent="0.3">
      <c r="F947" s="98"/>
    </row>
    <row r="948" spans="6:6" x14ac:dyDescent="0.3">
      <c r="F948" s="98"/>
    </row>
    <row r="949" spans="6:6" x14ac:dyDescent="0.3">
      <c r="F949" s="98"/>
    </row>
    <row r="950" spans="6:6" x14ac:dyDescent="0.3">
      <c r="F950" s="98"/>
    </row>
    <row r="951" spans="6:6" x14ac:dyDescent="0.3">
      <c r="F951" s="98"/>
    </row>
    <row r="952" spans="6:6" x14ac:dyDescent="0.3">
      <c r="F952" s="98"/>
    </row>
    <row r="953" spans="6:6" x14ac:dyDescent="0.3">
      <c r="F953" s="98"/>
    </row>
    <row r="954" spans="6:6" x14ac:dyDescent="0.3">
      <c r="F954" s="98"/>
    </row>
    <row r="955" spans="6:6" x14ac:dyDescent="0.3">
      <c r="F955" s="98"/>
    </row>
    <row r="956" spans="6:6" x14ac:dyDescent="0.3">
      <c r="F956" s="98"/>
    </row>
    <row r="957" spans="6:6" x14ac:dyDescent="0.3">
      <c r="F957" s="98"/>
    </row>
    <row r="958" spans="6:6" x14ac:dyDescent="0.3">
      <c r="F958" s="98"/>
    </row>
    <row r="959" spans="6:6" x14ac:dyDescent="0.3">
      <c r="F959" s="98"/>
    </row>
    <row r="960" spans="6:6" x14ac:dyDescent="0.3">
      <c r="F960" s="98"/>
    </row>
    <row r="961" spans="6:6" x14ac:dyDescent="0.3">
      <c r="F961" s="98"/>
    </row>
    <row r="962" spans="6:6" x14ac:dyDescent="0.3">
      <c r="F962" s="98"/>
    </row>
    <row r="963" spans="6:6" x14ac:dyDescent="0.3">
      <c r="F963" s="98"/>
    </row>
    <row r="964" spans="6:6" x14ac:dyDescent="0.3">
      <c r="F964" s="98"/>
    </row>
    <row r="965" spans="6:6" x14ac:dyDescent="0.3">
      <c r="F965" s="98"/>
    </row>
    <row r="966" spans="6:6" x14ac:dyDescent="0.3">
      <c r="F966" s="98"/>
    </row>
    <row r="967" spans="6:6" x14ac:dyDescent="0.3">
      <c r="F967" s="98"/>
    </row>
    <row r="968" spans="6:6" x14ac:dyDescent="0.3">
      <c r="F968" s="98"/>
    </row>
    <row r="969" spans="6:6" x14ac:dyDescent="0.3">
      <c r="F969" s="98"/>
    </row>
    <row r="970" spans="6:6" x14ac:dyDescent="0.3">
      <c r="F970" s="98"/>
    </row>
    <row r="971" spans="6:6" x14ac:dyDescent="0.3">
      <c r="F971" s="98"/>
    </row>
    <row r="972" spans="6:6" x14ac:dyDescent="0.3">
      <c r="F972" s="98"/>
    </row>
    <row r="973" spans="6:6" x14ac:dyDescent="0.3">
      <c r="F973" s="98"/>
    </row>
    <row r="974" spans="6:6" x14ac:dyDescent="0.3">
      <c r="F974" s="98"/>
    </row>
    <row r="975" spans="6:6" x14ac:dyDescent="0.3">
      <c r="F975" s="98"/>
    </row>
    <row r="976" spans="6:6" x14ac:dyDescent="0.3">
      <c r="F976" s="98"/>
    </row>
    <row r="977" spans="6:6" x14ac:dyDescent="0.3">
      <c r="F977" s="98"/>
    </row>
    <row r="978" spans="6:6" x14ac:dyDescent="0.3">
      <c r="F978" s="98"/>
    </row>
    <row r="979" spans="6:6" x14ac:dyDescent="0.3">
      <c r="F979" s="98"/>
    </row>
    <row r="980" spans="6:6" x14ac:dyDescent="0.3">
      <c r="F980" s="98"/>
    </row>
    <row r="981" spans="6:6" x14ac:dyDescent="0.3">
      <c r="F981" s="98"/>
    </row>
    <row r="982" spans="6:6" x14ac:dyDescent="0.3">
      <c r="F982" s="98"/>
    </row>
    <row r="983" spans="6:6" x14ac:dyDescent="0.3">
      <c r="F983" s="98"/>
    </row>
    <row r="984" spans="6:6" x14ac:dyDescent="0.3">
      <c r="F984" s="98"/>
    </row>
    <row r="985" spans="6:6" x14ac:dyDescent="0.3">
      <c r="F985" s="98"/>
    </row>
    <row r="986" spans="6:6" x14ac:dyDescent="0.3">
      <c r="F986" s="98"/>
    </row>
    <row r="987" spans="6:6" x14ac:dyDescent="0.3">
      <c r="F987" s="98"/>
    </row>
    <row r="988" spans="6:6" x14ac:dyDescent="0.3">
      <c r="F988" s="98"/>
    </row>
    <row r="989" spans="6:6" x14ac:dyDescent="0.3">
      <c r="F989" s="98"/>
    </row>
    <row r="990" spans="6:6" x14ac:dyDescent="0.3">
      <c r="F990" s="98"/>
    </row>
    <row r="991" spans="6:6" x14ac:dyDescent="0.3">
      <c r="F991" s="98"/>
    </row>
    <row r="992" spans="6:6" x14ac:dyDescent="0.3">
      <c r="F992" s="98"/>
    </row>
    <row r="993" spans="6:6" x14ac:dyDescent="0.3">
      <c r="F993" s="98"/>
    </row>
    <row r="994" spans="6:6" x14ac:dyDescent="0.3">
      <c r="F994" s="98"/>
    </row>
    <row r="995" spans="6:6" x14ac:dyDescent="0.3">
      <c r="F995" s="98"/>
    </row>
    <row r="996" spans="6:6" x14ac:dyDescent="0.3">
      <c r="F996" s="98"/>
    </row>
    <row r="997" spans="6:6" x14ac:dyDescent="0.3">
      <c r="F997" s="98"/>
    </row>
    <row r="998" spans="6:6" x14ac:dyDescent="0.3">
      <c r="F998" s="98"/>
    </row>
    <row r="999" spans="6:6" x14ac:dyDescent="0.3">
      <c r="F999" s="98"/>
    </row>
    <row r="1000" spans="6:6" x14ac:dyDescent="0.3">
      <c r="F1000" s="98"/>
    </row>
    <row r="1001" spans="6:6" x14ac:dyDescent="0.3">
      <c r="F1001" s="98"/>
    </row>
    <row r="1002" spans="6:6" x14ac:dyDescent="0.3">
      <c r="F1002" s="98"/>
    </row>
    <row r="1003" spans="6:6" x14ac:dyDescent="0.3">
      <c r="F1003" s="98"/>
    </row>
    <row r="1004" spans="6:6" x14ac:dyDescent="0.3">
      <c r="F1004" s="98"/>
    </row>
    <row r="1005" spans="6:6" x14ac:dyDescent="0.3">
      <c r="F1005" s="98"/>
    </row>
    <row r="1006" spans="6:6" x14ac:dyDescent="0.3">
      <c r="F1006" s="98"/>
    </row>
    <row r="1007" spans="6:6" x14ac:dyDescent="0.3">
      <c r="F1007" s="98"/>
    </row>
    <row r="1008" spans="6:6" x14ac:dyDescent="0.3">
      <c r="F1008" s="98"/>
    </row>
    <row r="1009" spans="6:6" x14ac:dyDescent="0.3">
      <c r="F1009" s="98"/>
    </row>
    <row r="1010" spans="6:6" x14ac:dyDescent="0.3">
      <c r="F1010" s="98"/>
    </row>
    <row r="1011" spans="6:6" x14ac:dyDescent="0.3">
      <c r="F1011" s="98"/>
    </row>
    <row r="1012" spans="6:6" x14ac:dyDescent="0.3">
      <c r="F1012" s="98"/>
    </row>
    <row r="1013" spans="6:6" x14ac:dyDescent="0.3">
      <c r="F1013" s="98"/>
    </row>
    <row r="1014" spans="6:6" x14ac:dyDescent="0.3">
      <c r="F1014" s="98"/>
    </row>
    <row r="1015" spans="6:6" x14ac:dyDescent="0.3">
      <c r="F1015" s="98"/>
    </row>
    <row r="1016" spans="6:6" x14ac:dyDescent="0.3">
      <c r="F1016" s="98"/>
    </row>
    <row r="1017" spans="6:6" x14ac:dyDescent="0.3">
      <c r="F1017" s="98"/>
    </row>
    <row r="1018" spans="6:6" x14ac:dyDescent="0.3">
      <c r="F1018" s="98"/>
    </row>
    <row r="1019" spans="6:6" x14ac:dyDescent="0.3">
      <c r="F1019" s="98"/>
    </row>
    <row r="1020" spans="6:6" x14ac:dyDescent="0.3">
      <c r="F1020" s="98"/>
    </row>
    <row r="1021" spans="6:6" x14ac:dyDescent="0.3">
      <c r="F1021" s="98"/>
    </row>
    <row r="1022" spans="6:6" x14ac:dyDescent="0.3">
      <c r="F1022" s="98"/>
    </row>
    <row r="1023" spans="6:6" x14ac:dyDescent="0.3">
      <c r="F1023" s="98"/>
    </row>
    <row r="1024" spans="6:6" x14ac:dyDescent="0.3">
      <c r="F1024" s="98"/>
    </row>
    <row r="1025" spans="6:6" x14ac:dyDescent="0.3">
      <c r="F1025" s="98"/>
    </row>
    <row r="1026" spans="6:6" x14ac:dyDescent="0.3">
      <c r="F1026" s="98"/>
    </row>
    <row r="1027" spans="6:6" x14ac:dyDescent="0.3">
      <c r="F1027" s="98"/>
    </row>
    <row r="1028" spans="6:6" x14ac:dyDescent="0.3">
      <c r="F1028" s="98"/>
    </row>
    <row r="1029" spans="6:6" x14ac:dyDescent="0.3">
      <c r="F1029" s="98"/>
    </row>
    <row r="1030" spans="6:6" x14ac:dyDescent="0.3">
      <c r="F1030" s="98"/>
    </row>
    <row r="1031" spans="6:6" x14ac:dyDescent="0.3">
      <c r="F1031" s="98"/>
    </row>
    <row r="1032" spans="6:6" x14ac:dyDescent="0.3">
      <c r="F1032" s="98"/>
    </row>
    <row r="1033" spans="6:6" x14ac:dyDescent="0.3">
      <c r="F1033" s="98"/>
    </row>
    <row r="1034" spans="6:6" x14ac:dyDescent="0.3">
      <c r="F1034" s="98"/>
    </row>
    <row r="1035" spans="6:6" x14ac:dyDescent="0.3">
      <c r="F1035" s="98"/>
    </row>
    <row r="1036" spans="6:6" x14ac:dyDescent="0.3">
      <c r="F1036" s="98"/>
    </row>
    <row r="1037" spans="6:6" x14ac:dyDescent="0.3">
      <c r="F1037" s="98"/>
    </row>
    <row r="1038" spans="6:6" x14ac:dyDescent="0.3">
      <c r="F1038" s="98"/>
    </row>
    <row r="1039" spans="6:6" x14ac:dyDescent="0.3">
      <c r="F1039" s="98"/>
    </row>
    <row r="1040" spans="6:6" x14ac:dyDescent="0.3">
      <c r="F1040" s="98"/>
    </row>
    <row r="1041" spans="6:6" x14ac:dyDescent="0.3">
      <c r="F1041" s="98"/>
    </row>
    <row r="1042" spans="6:6" x14ac:dyDescent="0.3">
      <c r="F1042" s="98"/>
    </row>
    <row r="1043" spans="6:6" x14ac:dyDescent="0.3">
      <c r="F1043" s="98"/>
    </row>
    <row r="1044" spans="6:6" x14ac:dyDescent="0.3">
      <c r="F1044" s="98"/>
    </row>
    <row r="1045" spans="6:6" x14ac:dyDescent="0.3">
      <c r="F1045" s="98"/>
    </row>
    <row r="1046" spans="6:6" x14ac:dyDescent="0.3">
      <c r="F1046" s="98"/>
    </row>
    <row r="1047" spans="6:6" x14ac:dyDescent="0.3">
      <c r="F1047" s="98"/>
    </row>
    <row r="1048" spans="6:6" x14ac:dyDescent="0.3">
      <c r="F1048" s="98"/>
    </row>
    <row r="1049" spans="6:6" x14ac:dyDescent="0.3">
      <c r="F1049" s="98"/>
    </row>
    <row r="1050" spans="6:6" x14ac:dyDescent="0.3">
      <c r="F1050" s="98"/>
    </row>
    <row r="1051" spans="6:6" x14ac:dyDescent="0.3">
      <c r="F1051" s="98"/>
    </row>
    <row r="1052" spans="6:6" x14ac:dyDescent="0.3">
      <c r="F1052" s="98"/>
    </row>
    <row r="1053" spans="6:6" x14ac:dyDescent="0.3">
      <c r="F1053" s="98"/>
    </row>
    <row r="1054" spans="6:6" x14ac:dyDescent="0.3">
      <c r="F1054" s="98"/>
    </row>
    <row r="1055" spans="6:6" x14ac:dyDescent="0.3">
      <c r="F1055" s="98"/>
    </row>
    <row r="1056" spans="6:6" x14ac:dyDescent="0.3">
      <c r="F1056" s="98"/>
    </row>
    <row r="1057" spans="6:6" x14ac:dyDescent="0.3">
      <c r="F1057" s="98"/>
    </row>
    <row r="1058" spans="6:6" x14ac:dyDescent="0.3">
      <c r="F1058" s="98"/>
    </row>
    <row r="1059" spans="6:6" x14ac:dyDescent="0.3">
      <c r="F1059" s="98"/>
    </row>
    <row r="1060" spans="6:6" x14ac:dyDescent="0.3">
      <c r="F1060" s="98"/>
    </row>
    <row r="1061" spans="6:6" x14ac:dyDescent="0.3">
      <c r="F1061" s="98"/>
    </row>
    <row r="1062" spans="6:6" x14ac:dyDescent="0.3">
      <c r="F1062" s="98"/>
    </row>
    <row r="1063" spans="6:6" x14ac:dyDescent="0.3">
      <c r="F1063" s="98"/>
    </row>
    <row r="1064" spans="6:6" x14ac:dyDescent="0.3">
      <c r="F1064" s="98"/>
    </row>
    <row r="1065" spans="6:6" x14ac:dyDescent="0.3">
      <c r="F1065" s="98"/>
    </row>
    <row r="1066" spans="6:6" x14ac:dyDescent="0.3">
      <c r="F1066" s="98"/>
    </row>
    <row r="1067" spans="6:6" x14ac:dyDescent="0.3">
      <c r="F1067" s="98"/>
    </row>
    <row r="1068" spans="6:6" x14ac:dyDescent="0.3">
      <c r="F1068" s="98"/>
    </row>
    <row r="1069" spans="6:6" x14ac:dyDescent="0.3">
      <c r="F1069" s="98"/>
    </row>
    <row r="1070" spans="6:6" x14ac:dyDescent="0.3">
      <c r="F1070" s="98"/>
    </row>
    <row r="1071" spans="6:6" x14ac:dyDescent="0.3">
      <c r="F1071" s="98"/>
    </row>
    <row r="1072" spans="6:6" x14ac:dyDescent="0.3">
      <c r="F1072" s="98"/>
    </row>
    <row r="1073" spans="6:6" x14ac:dyDescent="0.3">
      <c r="F1073" s="98"/>
    </row>
    <row r="1074" spans="6:6" x14ac:dyDescent="0.3">
      <c r="F1074" s="98"/>
    </row>
    <row r="1075" spans="6:6" x14ac:dyDescent="0.3">
      <c r="F1075" s="98"/>
    </row>
    <row r="1076" spans="6:6" x14ac:dyDescent="0.3">
      <c r="F1076" s="98"/>
    </row>
    <row r="1077" spans="6:6" x14ac:dyDescent="0.3">
      <c r="F1077" s="98"/>
    </row>
    <row r="1078" spans="6:6" x14ac:dyDescent="0.3">
      <c r="F1078" s="98"/>
    </row>
    <row r="1079" spans="6:6" x14ac:dyDescent="0.3">
      <c r="F1079" s="98"/>
    </row>
    <row r="1080" spans="6:6" x14ac:dyDescent="0.3">
      <c r="F1080" s="98"/>
    </row>
    <row r="1081" spans="6:6" x14ac:dyDescent="0.3">
      <c r="F1081" s="98"/>
    </row>
    <row r="1082" spans="6:6" x14ac:dyDescent="0.3">
      <c r="F1082" s="98"/>
    </row>
    <row r="1083" spans="6:6" x14ac:dyDescent="0.3">
      <c r="F1083" s="98"/>
    </row>
    <row r="1084" spans="6:6" x14ac:dyDescent="0.3">
      <c r="F1084" s="98"/>
    </row>
    <row r="1085" spans="6:6" x14ac:dyDescent="0.3">
      <c r="F1085" s="98"/>
    </row>
    <row r="1086" spans="6:6" x14ac:dyDescent="0.3">
      <c r="F1086" s="98"/>
    </row>
    <row r="1087" spans="6:6" x14ac:dyDescent="0.3">
      <c r="F1087" s="98"/>
    </row>
    <row r="1088" spans="6:6" x14ac:dyDescent="0.3">
      <c r="F1088" s="98"/>
    </row>
    <row r="1089" spans="6:6" x14ac:dyDescent="0.3">
      <c r="F1089" s="98"/>
    </row>
    <row r="1090" spans="6:6" x14ac:dyDescent="0.3">
      <c r="F1090" s="98"/>
    </row>
    <row r="1091" spans="6:6" x14ac:dyDescent="0.3">
      <c r="F1091" s="98"/>
    </row>
    <row r="1092" spans="6:6" x14ac:dyDescent="0.3">
      <c r="F1092" s="98"/>
    </row>
    <row r="1093" spans="6:6" x14ac:dyDescent="0.3">
      <c r="F1093" s="98"/>
    </row>
    <row r="1094" spans="6:6" x14ac:dyDescent="0.3">
      <c r="F1094" s="98"/>
    </row>
    <row r="1095" spans="6:6" x14ac:dyDescent="0.3">
      <c r="F1095" s="98"/>
    </row>
    <row r="1096" spans="6:6" x14ac:dyDescent="0.3">
      <c r="F1096" s="98"/>
    </row>
    <row r="1097" spans="6:6" x14ac:dyDescent="0.3">
      <c r="F1097" s="98"/>
    </row>
    <row r="1098" spans="6:6" x14ac:dyDescent="0.3">
      <c r="F1098" s="98"/>
    </row>
    <row r="1099" spans="6:6" x14ac:dyDescent="0.3">
      <c r="F1099" s="98"/>
    </row>
    <row r="1100" spans="6:6" x14ac:dyDescent="0.3">
      <c r="F1100" s="98"/>
    </row>
    <row r="1101" spans="6:6" x14ac:dyDescent="0.3">
      <c r="F1101" s="98"/>
    </row>
    <row r="1102" spans="6:6" x14ac:dyDescent="0.3">
      <c r="F1102" s="98"/>
    </row>
    <row r="1103" spans="6:6" x14ac:dyDescent="0.3">
      <c r="F1103" s="98"/>
    </row>
    <row r="1104" spans="6:6" x14ac:dyDescent="0.3">
      <c r="F1104" s="98"/>
    </row>
    <row r="1105" spans="6:6" x14ac:dyDescent="0.3">
      <c r="F1105" s="98"/>
    </row>
    <row r="1106" spans="6:6" x14ac:dyDescent="0.3">
      <c r="F1106" s="98"/>
    </row>
    <row r="1107" spans="6:6" x14ac:dyDescent="0.3">
      <c r="F1107" s="98"/>
    </row>
    <row r="1108" spans="6:6" x14ac:dyDescent="0.3">
      <c r="F1108" s="98"/>
    </row>
    <row r="1109" spans="6:6" x14ac:dyDescent="0.3">
      <c r="F1109" s="98"/>
    </row>
    <row r="1110" spans="6:6" x14ac:dyDescent="0.3">
      <c r="F1110" s="98"/>
    </row>
    <row r="1111" spans="6:6" x14ac:dyDescent="0.3">
      <c r="F1111" s="98"/>
    </row>
    <row r="1112" spans="6:6" x14ac:dyDescent="0.3">
      <c r="F1112" s="98"/>
    </row>
    <row r="1113" spans="6:6" x14ac:dyDescent="0.3">
      <c r="F1113" s="98"/>
    </row>
    <row r="1114" spans="6:6" x14ac:dyDescent="0.3">
      <c r="F1114" s="98"/>
    </row>
    <row r="1115" spans="6:6" x14ac:dyDescent="0.3">
      <c r="F1115" s="98"/>
    </row>
    <row r="1116" spans="6:6" x14ac:dyDescent="0.3">
      <c r="F1116" s="98"/>
    </row>
    <row r="1117" spans="6:6" x14ac:dyDescent="0.3">
      <c r="F1117" s="98"/>
    </row>
    <row r="1118" spans="6:6" x14ac:dyDescent="0.3">
      <c r="F1118" s="98"/>
    </row>
    <row r="1119" spans="6:6" x14ac:dyDescent="0.3">
      <c r="F1119" s="98"/>
    </row>
    <row r="1120" spans="6:6" x14ac:dyDescent="0.3">
      <c r="F1120" s="98"/>
    </row>
    <row r="1121" spans="6:6" x14ac:dyDescent="0.3">
      <c r="F1121" s="98"/>
    </row>
    <row r="1122" spans="6:6" x14ac:dyDescent="0.3">
      <c r="F1122" s="98"/>
    </row>
    <row r="1123" spans="6:6" x14ac:dyDescent="0.3">
      <c r="F1123" s="98"/>
    </row>
    <row r="1124" spans="6:6" x14ac:dyDescent="0.3">
      <c r="F1124" s="98"/>
    </row>
    <row r="1125" spans="6:6" x14ac:dyDescent="0.3">
      <c r="F1125" s="98"/>
    </row>
    <row r="1126" spans="6:6" x14ac:dyDescent="0.3">
      <c r="F1126" s="98"/>
    </row>
    <row r="1127" spans="6:6" x14ac:dyDescent="0.3">
      <c r="F1127" s="98"/>
    </row>
    <row r="1128" spans="6:6" x14ac:dyDescent="0.3">
      <c r="F1128" s="98"/>
    </row>
    <row r="1129" spans="6:6" x14ac:dyDescent="0.3">
      <c r="F1129" s="98"/>
    </row>
    <row r="1130" spans="6:6" x14ac:dyDescent="0.3">
      <c r="F1130" s="98"/>
    </row>
    <row r="1131" spans="6:6" x14ac:dyDescent="0.3">
      <c r="F1131" s="98"/>
    </row>
    <row r="1132" spans="6:6" x14ac:dyDescent="0.3">
      <c r="F1132" s="98"/>
    </row>
    <row r="1133" spans="6:6" x14ac:dyDescent="0.3">
      <c r="F1133" s="98"/>
    </row>
    <row r="1134" spans="6:6" x14ac:dyDescent="0.3">
      <c r="F1134" s="98"/>
    </row>
    <row r="1135" spans="6:6" x14ac:dyDescent="0.3">
      <c r="F1135" s="98"/>
    </row>
    <row r="1136" spans="6:6" x14ac:dyDescent="0.3">
      <c r="F1136" s="98"/>
    </row>
    <row r="1137" spans="6:6" x14ac:dyDescent="0.3">
      <c r="F1137" s="98"/>
    </row>
    <row r="1138" spans="6:6" x14ac:dyDescent="0.3">
      <c r="F1138" s="98"/>
    </row>
    <row r="1139" spans="6:6" x14ac:dyDescent="0.3">
      <c r="F1139" s="98"/>
    </row>
    <row r="1140" spans="6:6" x14ac:dyDescent="0.3">
      <c r="F1140" s="98"/>
    </row>
    <row r="1141" spans="6:6" x14ac:dyDescent="0.3">
      <c r="F1141" s="98"/>
    </row>
    <row r="1142" spans="6:6" x14ac:dyDescent="0.3">
      <c r="F1142" s="98"/>
    </row>
    <row r="1143" spans="6:6" x14ac:dyDescent="0.3">
      <c r="F1143" s="98"/>
    </row>
    <row r="1144" spans="6:6" x14ac:dyDescent="0.3">
      <c r="F1144" s="98"/>
    </row>
    <row r="1145" spans="6:6" x14ac:dyDescent="0.3">
      <c r="F1145" s="98"/>
    </row>
    <row r="1146" spans="6:6" x14ac:dyDescent="0.3">
      <c r="F1146" s="98"/>
    </row>
    <row r="1147" spans="6:6" x14ac:dyDescent="0.3">
      <c r="F1147" s="98"/>
    </row>
    <row r="1148" spans="6:6" x14ac:dyDescent="0.3">
      <c r="F1148" s="98"/>
    </row>
    <row r="1149" spans="6:6" x14ac:dyDescent="0.3">
      <c r="F1149" s="98"/>
    </row>
    <row r="1150" spans="6:6" x14ac:dyDescent="0.3">
      <c r="F1150" s="98"/>
    </row>
    <row r="1151" spans="6:6" x14ac:dyDescent="0.3">
      <c r="F1151" s="98"/>
    </row>
    <row r="1152" spans="6:6" x14ac:dyDescent="0.3">
      <c r="F1152" s="98"/>
    </row>
    <row r="1153" spans="6:6" x14ac:dyDescent="0.3">
      <c r="F1153" s="98"/>
    </row>
    <row r="1154" spans="6:6" x14ac:dyDescent="0.3">
      <c r="F1154" s="98"/>
    </row>
    <row r="1155" spans="6:6" x14ac:dyDescent="0.3">
      <c r="F1155" s="98"/>
    </row>
    <row r="1156" spans="6:6" x14ac:dyDescent="0.3">
      <c r="F1156" s="98"/>
    </row>
    <row r="1157" spans="6:6" x14ac:dyDescent="0.3">
      <c r="F1157" s="98"/>
    </row>
    <row r="1158" spans="6:6" x14ac:dyDescent="0.3">
      <c r="F1158" s="98"/>
    </row>
    <row r="1159" spans="6:6" x14ac:dyDescent="0.3">
      <c r="F1159" s="98"/>
    </row>
    <row r="1160" spans="6:6" x14ac:dyDescent="0.3">
      <c r="F1160" s="98"/>
    </row>
    <row r="1161" spans="6:6" x14ac:dyDescent="0.3">
      <c r="F1161" s="98"/>
    </row>
    <row r="1162" spans="6:6" x14ac:dyDescent="0.3">
      <c r="F1162" s="98"/>
    </row>
    <row r="1163" spans="6:6" x14ac:dyDescent="0.3">
      <c r="F1163" s="98"/>
    </row>
    <row r="1164" spans="6:6" x14ac:dyDescent="0.3">
      <c r="F1164" s="98"/>
    </row>
    <row r="1165" spans="6:6" x14ac:dyDescent="0.3">
      <c r="F1165" s="98"/>
    </row>
    <row r="1166" spans="6:6" x14ac:dyDescent="0.3">
      <c r="F1166" s="98"/>
    </row>
    <row r="1167" spans="6:6" x14ac:dyDescent="0.3">
      <c r="F1167" s="98"/>
    </row>
    <row r="1168" spans="6:6" x14ac:dyDescent="0.3">
      <c r="F1168" s="98"/>
    </row>
    <row r="1169" spans="6:6" x14ac:dyDescent="0.3">
      <c r="F1169" s="98"/>
    </row>
    <row r="1170" spans="6:6" x14ac:dyDescent="0.3">
      <c r="F1170" s="98"/>
    </row>
    <row r="1171" spans="6:6" x14ac:dyDescent="0.3">
      <c r="F1171" s="98"/>
    </row>
    <row r="1172" spans="6:6" x14ac:dyDescent="0.3">
      <c r="F1172" s="98"/>
    </row>
    <row r="1173" spans="6:6" x14ac:dyDescent="0.3">
      <c r="F1173" s="98"/>
    </row>
    <row r="1174" spans="6:6" x14ac:dyDescent="0.3">
      <c r="F1174" s="98"/>
    </row>
    <row r="1175" spans="6:6" x14ac:dyDescent="0.3">
      <c r="F1175" s="98"/>
    </row>
    <row r="1176" spans="6:6" x14ac:dyDescent="0.3">
      <c r="F1176" s="98"/>
    </row>
    <row r="1177" spans="6:6" x14ac:dyDescent="0.3">
      <c r="F1177" s="98"/>
    </row>
    <row r="1178" spans="6:6" x14ac:dyDescent="0.3">
      <c r="F1178" s="98"/>
    </row>
    <row r="1179" spans="6:6" x14ac:dyDescent="0.3">
      <c r="F1179" s="98"/>
    </row>
    <row r="1180" spans="6:6" x14ac:dyDescent="0.3">
      <c r="F1180" s="98"/>
    </row>
    <row r="1181" spans="6:6" x14ac:dyDescent="0.3">
      <c r="F1181" s="98"/>
    </row>
    <row r="1182" spans="6:6" x14ac:dyDescent="0.3">
      <c r="F1182" s="98"/>
    </row>
    <row r="1183" spans="6:6" x14ac:dyDescent="0.3">
      <c r="F1183" s="98"/>
    </row>
    <row r="1184" spans="6:6" x14ac:dyDescent="0.3">
      <c r="F1184" s="98"/>
    </row>
    <row r="1185" spans="6:6" x14ac:dyDescent="0.3">
      <c r="F1185" s="98"/>
    </row>
    <row r="1186" spans="6:6" x14ac:dyDescent="0.3">
      <c r="F1186" s="98"/>
    </row>
    <row r="1187" spans="6:6" x14ac:dyDescent="0.3">
      <c r="F1187" s="98"/>
    </row>
    <row r="1188" spans="6:6" x14ac:dyDescent="0.3">
      <c r="F1188" s="98"/>
    </row>
    <row r="1189" spans="6:6" x14ac:dyDescent="0.3">
      <c r="F1189" s="98"/>
    </row>
    <row r="1190" spans="6:6" x14ac:dyDescent="0.3">
      <c r="F1190" s="98"/>
    </row>
    <row r="1191" spans="6:6" x14ac:dyDescent="0.3">
      <c r="F1191" s="98"/>
    </row>
    <row r="1192" spans="6:6" x14ac:dyDescent="0.3">
      <c r="F1192" s="98"/>
    </row>
    <row r="1193" spans="6:6" x14ac:dyDescent="0.3">
      <c r="F1193" s="98"/>
    </row>
    <row r="1194" spans="6:6" x14ac:dyDescent="0.3">
      <c r="F1194" s="98"/>
    </row>
    <row r="1195" spans="6:6" x14ac:dyDescent="0.3">
      <c r="F1195" s="98"/>
    </row>
    <row r="1196" spans="6:6" x14ac:dyDescent="0.3">
      <c r="F1196" s="98"/>
    </row>
    <row r="1197" spans="6:6" x14ac:dyDescent="0.3">
      <c r="F1197" s="98"/>
    </row>
    <row r="1198" spans="6:6" x14ac:dyDescent="0.3">
      <c r="F1198" s="98"/>
    </row>
    <row r="1199" spans="6:6" x14ac:dyDescent="0.3">
      <c r="F1199" s="98"/>
    </row>
    <row r="1200" spans="6:6" x14ac:dyDescent="0.3">
      <c r="F1200" s="98"/>
    </row>
    <row r="1201" spans="6:6" x14ac:dyDescent="0.3">
      <c r="F1201" s="98"/>
    </row>
    <row r="1202" spans="6:6" x14ac:dyDescent="0.3">
      <c r="F1202" s="98"/>
    </row>
    <row r="1203" spans="6:6" x14ac:dyDescent="0.3">
      <c r="F1203" s="98"/>
    </row>
    <row r="1204" spans="6:6" x14ac:dyDescent="0.3">
      <c r="F1204" s="98"/>
    </row>
    <row r="1205" spans="6:6" x14ac:dyDescent="0.3">
      <c r="F1205" s="98"/>
    </row>
    <row r="1206" spans="6:6" x14ac:dyDescent="0.3">
      <c r="F1206" s="98"/>
    </row>
    <row r="1207" spans="6:6" x14ac:dyDescent="0.3">
      <c r="F1207" s="98"/>
    </row>
    <row r="1208" spans="6:6" x14ac:dyDescent="0.3">
      <c r="F1208" s="98"/>
    </row>
    <row r="1209" spans="6:6" x14ac:dyDescent="0.3">
      <c r="F1209" s="98"/>
    </row>
    <row r="1210" spans="6:6" x14ac:dyDescent="0.3">
      <c r="F1210" s="98"/>
    </row>
    <row r="1211" spans="6:6" x14ac:dyDescent="0.3">
      <c r="F1211" s="98"/>
    </row>
    <row r="1212" spans="6:6" x14ac:dyDescent="0.3">
      <c r="F1212" s="98"/>
    </row>
    <row r="1213" spans="6:6" x14ac:dyDescent="0.3">
      <c r="F1213" s="98"/>
    </row>
    <row r="1214" spans="6:6" x14ac:dyDescent="0.3">
      <c r="F1214" s="98"/>
    </row>
    <row r="1215" spans="6:6" x14ac:dyDescent="0.3">
      <c r="F1215" s="98"/>
    </row>
    <row r="1216" spans="6:6" x14ac:dyDescent="0.3">
      <c r="F1216" s="98"/>
    </row>
    <row r="1217" spans="6:6" x14ac:dyDescent="0.3">
      <c r="F1217" s="98"/>
    </row>
    <row r="1218" spans="6:6" x14ac:dyDescent="0.3">
      <c r="F1218" s="98"/>
    </row>
    <row r="1219" spans="6:6" x14ac:dyDescent="0.3">
      <c r="F1219" s="98"/>
    </row>
    <row r="1220" spans="6:6" x14ac:dyDescent="0.3">
      <c r="F1220" s="98"/>
    </row>
    <row r="1221" spans="6:6" x14ac:dyDescent="0.3">
      <c r="F1221" s="98"/>
    </row>
    <row r="1222" spans="6:6" x14ac:dyDescent="0.3">
      <c r="F1222" s="98"/>
    </row>
    <row r="1223" spans="6:6" x14ac:dyDescent="0.3">
      <c r="F1223" s="98"/>
    </row>
    <row r="1224" spans="6:6" x14ac:dyDescent="0.3">
      <c r="F1224" s="98"/>
    </row>
    <row r="1225" spans="6:6" x14ac:dyDescent="0.3">
      <c r="F1225" s="98"/>
    </row>
    <row r="1226" spans="6:6" x14ac:dyDescent="0.3">
      <c r="F1226" s="98"/>
    </row>
    <row r="1227" spans="6:6" x14ac:dyDescent="0.3">
      <c r="F1227" s="98"/>
    </row>
    <row r="1228" spans="6:6" x14ac:dyDescent="0.3">
      <c r="F1228" s="98"/>
    </row>
    <row r="1229" spans="6:6" x14ac:dyDescent="0.3">
      <c r="F1229" s="98"/>
    </row>
    <row r="1230" spans="6:6" x14ac:dyDescent="0.3">
      <c r="F1230" s="98"/>
    </row>
    <row r="1231" spans="6:6" x14ac:dyDescent="0.3">
      <c r="F1231" s="98"/>
    </row>
    <row r="1232" spans="6:6" x14ac:dyDescent="0.3">
      <c r="F1232" s="98"/>
    </row>
    <row r="1233" spans="6:6" x14ac:dyDescent="0.3">
      <c r="F1233" s="98"/>
    </row>
    <row r="1234" spans="6:6" x14ac:dyDescent="0.3">
      <c r="F1234" s="98"/>
    </row>
    <row r="1235" spans="6:6" x14ac:dyDescent="0.3">
      <c r="F1235" s="98"/>
    </row>
    <row r="1236" spans="6:6" x14ac:dyDescent="0.3">
      <c r="F1236" s="98"/>
    </row>
    <row r="1237" spans="6:6" x14ac:dyDescent="0.3">
      <c r="F1237" s="98"/>
    </row>
    <row r="1238" spans="6:6" x14ac:dyDescent="0.3">
      <c r="F1238" s="98"/>
    </row>
    <row r="1239" spans="6:6" x14ac:dyDescent="0.3">
      <c r="F1239" s="98"/>
    </row>
    <row r="1240" spans="6:6" x14ac:dyDescent="0.3">
      <c r="F1240" s="98"/>
    </row>
    <row r="1241" spans="6:6" x14ac:dyDescent="0.3">
      <c r="F1241" s="98"/>
    </row>
    <row r="1242" spans="6:6" x14ac:dyDescent="0.3">
      <c r="F1242" s="98"/>
    </row>
    <row r="1243" spans="6:6" x14ac:dyDescent="0.3">
      <c r="F1243" s="98"/>
    </row>
    <row r="1244" spans="6:6" x14ac:dyDescent="0.3">
      <c r="F1244" s="98"/>
    </row>
    <row r="1245" spans="6:6" x14ac:dyDescent="0.3">
      <c r="F1245" s="98"/>
    </row>
    <row r="1246" spans="6:6" x14ac:dyDescent="0.3">
      <c r="F1246" s="98"/>
    </row>
    <row r="1247" spans="6:6" x14ac:dyDescent="0.3">
      <c r="F1247" s="98"/>
    </row>
    <row r="1248" spans="6:6" x14ac:dyDescent="0.3">
      <c r="F1248" s="98"/>
    </row>
    <row r="1249" spans="6:6" x14ac:dyDescent="0.3">
      <c r="F1249" s="98"/>
    </row>
    <row r="1250" spans="6:6" x14ac:dyDescent="0.3">
      <c r="F1250" s="98"/>
    </row>
    <row r="1251" spans="6:6" x14ac:dyDescent="0.3">
      <c r="F1251" s="98"/>
    </row>
    <row r="1252" spans="6:6" x14ac:dyDescent="0.3">
      <c r="F1252" s="98"/>
    </row>
    <row r="1253" spans="6:6" x14ac:dyDescent="0.3">
      <c r="F1253" s="98"/>
    </row>
    <row r="1254" spans="6:6" x14ac:dyDescent="0.3">
      <c r="F1254" s="98"/>
    </row>
    <row r="1255" spans="6:6" x14ac:dyDescent="0.3">
      <c r="F1255" s="98"/>
    </row>
    <row r="1256" spans="6:6" x14ac:dyDescent="0.3">
      <c r="F1256" s="98"/>
    </row>
    <row r="1257" spans="6:6" x14ac:dyDescent="0.3">
      <c r="F1257" s="98"/>
    </row>
    <row r="1258" spans="6:6" x14ac:dyDescent="0.3">
      <c r="F1258" s="98"/>
    </row>
    <row r="1259" spans="6:6" x14ac:dyDescent="0.3">
      <c r="F1259" s="98"/>
    </row>
    <row r="1260" spans="6:6" x14ac:dyDescent="0.3">
      <c r="F1260" s="98"/>
    </row>
    <row r="1261" spans="6:6" x14ac:dyDescent="0.3">
      <c r="F1261" s="98"/>
    </row>
    <row r="1262" spans="6:6" x14ac:dyDescent="0.3">
      <c r="F1262" s="98"/>
    </row>
    <row r="1263" spans="6:6" x14ac:dyDescent="0.3">
      <c r="F1263" s="98"/>
    </row>
    <row r="1264" spans="6:6" x14ac:dyDescent="0.3">
      <c r="F1264" s="98"/>
    </row>
    <row r="1265" spans="6:6" x14ac:dyDescent="0.3">
      <c r="F1265" s="98"/>
    </row>
    <row r="1266" spans="6:6" x14ac:dyDescent="0.3">
      <c r="F1266" s="98"/>
    </row>
    <row r="1267" spans="6:6" x14ac:dyDescent="0.3">
      <c r="F1267" s="98"/>
    </row>
    <row r="1268" spans="6:6" x14ac:dyDescent="0.3">
      <c r="F1268" s="98"/>
    </row>
    <row r="1269" spans="6:6" x14ac:dyDescent="0.3">
      <c r="F1269" s="98"/>
    </row>
    <row r="1270" spans="6:6" x14ac:dyDescent="0.3">
      <c r="F1270" s="98"/>
    </row>
    <row r="1271" spans="6:6" x14ac:dyDescent="0.3">
      <c r="F1271" s="98"/>
    </row>
    <row r="1272" spans="6:6" x14ac:dyDescent="0.3">
      <c r="F1272" s="98"/>
    </row>
    <row r="1273" spans="6:6" x14ac:dyDescent="0.3">
      <c r="F1273" s="98"/>
    </row>
    <row r="1274" spans="6:6" x14ac:dyDescent="0.3">
      <c r="F1274" s="98"/>
    </row>
    <row r="1275" spans="6:6" x14ac:dyDescent="0.3">
      <c r="F1275" s="98"/>
    </row>
    <row r="1276" spans="6:6" x14ac:dyDescent="0.3">
      <c r="F1276" s="98"/>
    </row>
    <row r="1277" spans="6:6" x14ac:dyDescent="0.3">
      <c r="F1277" s="98"/>
    </row>
    <row r="1278" spans="6:6" x14ac:dyDescent="0.3">
      <c r="F1278" s="98"/>
    </row>
    <row r="1279" spans="6:6" x14ac:dyDescent="0.3">
      <c r="F1279" s="98"/>
    </row>
    <row r="1280" spans="6:6" x14ac:dyDescent="0.3">
      <c r="F1280" s="98"/>
    </row>
    <row r="1281" spans="6:6" x14ac:dyDescent="0.3">
      <c r="F1281" s="98"/>
    </row>
    <row r="1282" spans="6:6" x14ac:dyDescent="0.3">
      <c r="F1282" s="98"/>
    </row>
    <row r="1283" spans="6:6" x14ac:dyDescent="0.3">
      <c r="F1283" s="98"/>
    </row>
    <row r="1284" spans="6:6" x14ac:dyDescent="0.3">
      <c r="F1284" s="98"/>
    </row>
    <row r="1285" spans="6:6" x14ac:dyDescent="0.3">
      <c r="F1285" s="98"/>
    </row>
    <row r="1286" spans="6:6" x14ac:dyDescent="0.3">
      <c r="F1286" s="98"/>
    </row>
    <row r="1287" spans="6:6" x14ac:dyDescent="0.3">
      <c r="F1287" s="98"/>
    </row>
    <row r="1288" spans="6:6" x14ac:dyDescent="0.3">
      <c r="F1288" s="98"/>
    </row>
    <row r="1289" spans="6:6" x14ac:dyDescent="0.3">
      <c r="F1289" s="98"/>
    </row>
    <row r="1290" spans="6:6" x14ac:dyDescent="0.3">
      <c r="F1290" s="98"/>
    </row>
    <row r="1291" spans="6:6" x14ac:dyDescent="0.3">
      <c r="F1291" s="98"/>
    </row>
    <row r="1292" spans="6:6" x14ac:dyDescent="0.3">
      <c r="F1292" s="98"/>
    </row>
    <row r="1293" spans="6:6" x14ac:dyDescent="0.3">
      <c r="F1293" s="98"/>
    </row>
    <row r="1294" spans="6:6" x14ac:dyDescent="0.3">
      <c r="F1294" s="98"/>
    </row>
    <row r="1295" spans="6:6" x14ac:dyDescent="0.3">
      <c r="F1295" s="98"/>
    </row>
    <row r="1296" spans="6:6" x14ac:dyDescent="0.3">
      <c r="F1296" s="98"/>
    </row>
    <row r="1297" spans="6:6" x14ac:dyDescent="0.3">
      <c r="F1297" s="98"/>
    </row>
    <row r="1298" spans="6:6" x14ac:dyDescent="0.3">
      <c r="F1298" s="98"/>
    </row>
    <row r="1299" spans="6:6" x14ac:dyDescent="0.3">
      <c r="F1299" s="98"/>
    </row>
    <row r="1300" spans="6:6" x14ac:dyDescent="0.3">
      <c r="F1300" s="98"/>
    </row>
    <row r="1301" spans="6:6" x14ac:dyDescent="0.3">
      <c r="F1301" s="98"/>
    </row>
    <row r="1302" spans="6:6" x14ac:dyDescent="0.3">
      <c r="F1302" s="98"/>
    </row>
    <row r="1303" spans="6:6" x14ac:dyDescent="0.3">
      <c r="F1303" s="98"/>
    </row>
    <row r="1304" spans="6:6" x14ac:dyDescent="0.3">
      <c r="F1304" s="98"/>
    </row>
    <row r="1305" spans="6:6" x14ac:dyDescent="0.3">
      <c r="F1305" s="98"/>
    </row>
    <row r="1306" spans="6:6" x14ac:dyDescent="0.3">
      <c r="F1306" s="98"/>
    </row>
    <row r="1307" spans="6:6" x14ac:dyDescent="0.3">
      <c r="F1307" s="98"/>
    </row>
    <row r="1308" spans="6:6" x14ac:dyDescent="0.3">
      <c r="F1308" s="98"/>
    </row>
    <row r="1309" spans="6:6" x14ac:dyDescent="0.3">
      <c r="F1309" s="98"/>
    </row>
    <row r="1310" spans="6:6" x14ac:dyDescent="0.3">
      <c r="F1310" s="98"/>
    </row>
    <row r="1311" spans="6:6" x14ac:dyDescent="0.3">
      <c r="F1311" s="98"/>
    </row>
    <row r="1312" spans="6:6" x14ac:dyDescent="0.3">
      <c r="F1312" s="98"/>
    </row>
    <row r="1313" spans="6:6" x14ac:dyDescent="0.3">
      <c r="F1313" s="98"/>
    </row>
    <row r="1314" spans="6:6" x14ac:dyDescent="0.3">
      <c r="F1314" s="98"/>
    </row>
    <row r="1315" spans="6:6" x14ac:dyDescent="0.3">
      <c r="F1315" s="98"/>
    </row>
    <row r="1316" spans="6:6" x14ac:dyDescent="0.3">
      <c r="F1316" s="98"/>
    </row>
    <row r="1317" spans="6:6" x14ac:dyDescent="0.3">
      <c r="F1317" s="98"/>
    </row>
    <row r="1318" spans="6:6" x14ac:dyDescent="0.3">
      <c r="F1318" s="98"/>
    </row>
    <row r="1319" spans="6:6" x14ac:dyDescent="0.3">
      <c r="F1319" s="98"/>
    </row>
    <row r="1320" spans="6:6" x14ac:dyDescent="0.3">
      <c r="F1320" s="98"/>
    </row>
    <row r="1321" spans="6:6" x14ac:dyDescent="0.3">
      <c r="F1321" s="98"/>
    </row>
    <row r="1322" spans="6:6" x14ac:dyDescent="0.3">
      <c r="F1322" s="98"/>
    </row>
    <row r="1323" spans="6:6" x14ac:dyDescent="0.3">
      <c r="F1323" s="98"/>
    </row>
    <row r="1324" spans="6:6" x14ac:dyDescent="0.3">
      <c r="F1324" s="98"/>
    </row>
    <row r="1325" spans="6:6" x14ac:dyDescent="0.3">
      <c r="F1325" s="98"/>
    </row>
    <row r="1326" spans="6:6" x14ac:dyDescent="0.3">
      <c r="F1326" s="98"/>
    </row>
    <row r="1327" spans="6:6" x14ac:dyDescent="0.3">
      <c r="F1327" s="98"/>
    </row>
    <row r="1328" spans="6:6" x14ac:dyDescent="0.3">
      <c r="F1328" s="98"/>
    </row>
    <row r="1329" spans="6:6" x14ac:dyDescent="0.3">
      <c r="F1329" s="98"/>
    </row>
    <row r="1330" spans="6:6" x14ac:dyDescent="0.3">
      <c r="F1330" s="98"/>
    </row>
    <row r="1331" spans="6:6" x14ac:dyDescent="0.3">
      <c r="F1331" s="98"/>
    </row>
    <row r="1332" spans="6:6" x14ac:dyDescent="0.3">
      <c r="F1332" s="98"/>
    </row>
    <row r="1333" spans="6:6" x14ac:dyDescent="0.3">
      <c r="F1333" s="98"/>
    </row>
    <row r="1334" spans="6:6" x14ac:dyDescent="0.3">
      <c r="F1334" s="98"/>
    </row>
    <row r="1335" spans="6:6" x14ac:dyDescent="0.3">
      <c r="F1335" s="98"/>
    </row>
    <row r="1336" spans="6:6" x14ac:dyDescent="0.3">
      <c r="F1336" s="98"/>
    </row>
    <row r="1337" spans="6:6" x14ac:dyDescent="0.3">
      <c r="F1337" s="98"/>
    </row>
    <row r="1338" spans="6:6" x14ac:dyDescent="0.3">
      <c r="F1338" s="98"/>
    </row>
    <row r="1339" spans="6:6" x14ac:dyDescent="0.3">
      <c r="F1339" s="98"/>
    </row>
    <row r="1340" spans="6:6" x14ac:dyDescent="0.3">
      <c r="F1340" s="98"/>
    </row>
    <row r="1341" spans="6:6" x14ac:dyDescent="0.3">
      <c r="F1341" s="98"/>
    </row>
    <row r="1342" spans="6:6" x14ac:dyDescent="0.3">
      <c r="F1342" s="98"/>
    </row>
    <row r="1343" spans="6:6" x14ac:dyDescent="0.3">
      <c r="F1343" s="98"/>
    </row>
    <row r="1344" spans="6:6" x14ac:dyDescent="0.3">
      <c r="F1344" s="98"/>
    </row>
    <row r="1345" spans="6:6" x14ac:dyDescent="0.3">
      <c r="F1345" s="98"/>
    </row>
    <row r="1346" spans="6:6" x14ac:dyDescent="0.3">
      <c r="F1346" s="98"/>
    </row>
    <row r="1347" spans="6:6" x14ac:dyDescent="0.3">
      <c r="F1347" s="98"/>
    </row>
    <row r="1348" spans="6:6" x14ac:dyDescent="0.3">
      <c r="F1348" s="98"/>
    </row>
    <row r="1349" spans="6:6" x14ac:dyDescent="0.3">
      <c r="F1349" s="98"/>
    </row>
    <row r="1350" spans="6:6" x14ac:dyDescent="0.3">
      <c r="F1350" s="98"/>
    </row>
    <row r="1351" spans="6:6" x14ac:dyDescent="0.3">
      <c r="F1351" s="98"/>
    </row>
    <row r="1352" spans="6:6" x14ac:dyDescent="0.3">
      <c r="F1352" s="98"/>
    </row>
    <row r="1353" spans="6:6" x14ac:dyDescent="0.3">
      <c r="F1353" s="98"/>
    </row>
    <row r="1354" spans="6:6" x14ac:dyDescent="0.3">
      <c r="F1354" s="98"/>
    </row>
    <row r="1355" spans="6:6" x14ac:dyDescent="0.3">
      <c r="F1355" s="98"/>
    </row>
    <row r="1356" spans="6:6" x14ac:dyDescent="0.3">
      <c r="F1356" s="98"/>
    </row>
    <row r="1357" spans="6:6" x14ac:dyDescent="0.3">
      <c r="F1357" s="98"/>
    </row>
    <row r="1358" spans="6:6" x14ac:dyDescent="0.3">
      <c r="F1358" s="98"/>
    </row>
    <row r="1359" spans="6:6" x14ac:dyDescent="0.3">
      <c r="F1359" s="98"/>
    </row>
    <row r="1360" spans="6:6" x14ac:dyDescent="0.3">
      <c r="F1360" s="98"/>
    </row>
    <row r="1361" spans="6:6" x14ac:dyDescent="0.3">
      <c r="F1361" s="98"/>
    </row>
    <row r="1362" spans="6:6" x14ac:dyDescent="0.3">
      <c r="F1362" s="98"/>
    </row>
    <row r="1363" spans="6:6" x14ac:dyDescent="0.3">
      <c r="F1363" s="98"/>
    </row>
    <row r="1364" spans="6:6" x14ac:dyDescent="0.3">
      <c r="F1364" s="98"/>
    </row>
    <row r="1365" spans="6:6" x14ac:dyDescent="0.3">
      <c r="F1365" s="98"/>
    </row>
    <row r="1366" spans="6:6" x14ac:dyDescent="0.3">
      <c r="F1366" s="98"/>
    </row>
    <row r="1367" spans="6:6" x14ac:dyDescent="0.3">
      <c r="F1367" s="98"/>
    </row>
    <row r="1368" spans="6:6" x14ac:dyDescent="0.3">
      <c r="F1368" s="98"/>
    </row>
    <row r="1369" spans="6:6" x14ac:dyDescent="0.3">
      <c r="F1369" s="98"/>
    </row>
    <row r="1370" spans="6:6" x14ac:dyDescent="0.3">
      <c r="F1370" s="98"/>
    </row>
    <row r="1371" spans="6:6" x14ac:dyDescent="0.3">
      <c r="F1371" s="98"/>
    </row>
    <row r="1372" spans="6:6" x14ac:dyDescent="0.3">
      <c r="F1372" s="98"/>
    </row>
    <row r="1373" spans="6:6" x14ac:dyDescent="0.3">
      <c r="F1373" s="98"/>
    </row>
    <row r="1374" spans="6:6" x14ac:dyDescent="0.3">
      <c r="F1374" s="98"/>
    </row>
    <row r="1375" spans="6:6" x14ac:dyDescent="0.3">
      <c r="F1375" s="98"/>
    </row>
    <row r="1376" spans="6:6" x14ac:dyDescent="0.3">
      <c r="F1376" s="98"/>
    </row>
    <row r="1377" spans="6:6" x14ac:dyDescent="0.3">
      <c r="F1377" s="98"/>
    </row>
    <row r="1378" spans="6:6" x14ac:dyDescent="0.3">
      <c r="F1378" s="98"/>
    </row>
    <row r="1379" spans="6:6" x14ac:dyDescent="0.3">
      <c r="F1379" s="98"/>
    </row>
    <row r="1380" spans="6:6" x14ac:dyDescent="0.3">
      <c r="F1380" s="98"/>
    </row>
    <row r="1381" spans="6:6" x14ac:dyDescent="0.3">
      <c r="F1381" s="98"/>
    </row>
    <row r="1382" spans="6:6" x14ac:dyDescent="0.3">
      <c r="F1382" s="98"/>
    </row>
    <row r="1383" spans="6:6" x14ac:dyDescent="0.3">
      <c r="F1383" s="98"/>
    </row>
    <row r="1384" spans="6:6" x14ac:dyDescent="0.3">
      <c r="F1384" s="98"/>
    </row>
    <row r="1385" spans="6:6" x14ac:dyDescent="0.3">
      <c r="F1385" s="98"/>
    </row>
    <row r="1386" spans="6:6" x14ac:dyDescent="0.3">
      <c r="F1386" s="98"/>
    </row>
    <row r="1387" spans="6:6" x14ac:dyDescent="0.3">
      <c r="F1387" s="98"/>
    </row>
    <row r="1388" spans="6:6" x14ac:dyDescent="0.3">
      <c r="F1388" s="98"/>
    </row>
    <row r="1389" spans="6:6" x14ac:dyDescent="0.3">
      <c r="F1389" s="98"/>
    </row>
    <row r="1390" spans="6:6" x14ac:dyDescent="0.3">
      <c r="F1390" s="98"/>
    </row>
    <row r="1391" spans="6:6" x14ac:dyDescent="0.3">
      <c r="F1391" s="98"/>
    </row>
    <row r="1392" spans="6:6" x14ac:dyDescent="0.3">
      <c r="F1392" s="98"/>
    </row>
    <row r="1393" spans="6:6" x14ac:dyDescent="0.3">
      <c r="F1393" s="98"/>
    </row>
    <row r="1394" spans="6:6" x14ac:dyDescent="0.3">
      <c r="F1394" s="98"/>
    </row>
    <row r="1395" spans="6:6" x14ac:dyDescent="0.3">
      <c r="F1395" s="98"/>
    </row>
    <row r="1396" spans="6:6" x14ac:dyDescent="0.3">
      <c r="F1396" s="98"/>
    </row>
    <row r="1397" spans="6:6" x14ac:dyDescent="0.3">
      <c r="F1397" s="98"/>
    </row>
    <row r="1398" spans="6:6" x14ac:dyDescent="0.3">
      <c r="F1398" s="98"/>
    </row>
    <row r="1399" spans="6:6" x14ac:dyDescent="0.3">
      <c r="F1399" s="98"/>
    </row>
    <row r="1400" spans="6:6" x14ac:dyDescent="0.3">
      <c r="F1400" s="98"/>
    </row>
    <row r="1401" spans="6:6" x14ac:dyDescent="0.3">
      <c r="F1401" s="98"/>
    </row>
    <row r="1402" spans="6:6" x14ac:dyDescent="0.3">
      <c r="F1402" s="98"/>
    </row>
    <row r="1403" spans="6:6" x14ac:dyDescent="0.3">
      <c r="F1403" s="98"/>
    </row>
    <row r="1404" spans="6:6" x14ac:dyDescent="0.3">
      <c r="F1404" s="98"/>
    </row>
    <row r="1405" spans="6:6" x14ac:dyDescent="0.3">
      <c r="F1405" s="98"/>
    </row>
    <row r="1406" spans="6:6" x14ac:dyDescent="0.3">
      <c r="F1406" s="98"/>
    </row>
    <row r="1407" spans="6:6" x14ac:dyDescent="0.3">
      <c r="F1407" s="98"/>
    </row>
    <row r="1408" spans="6:6" x14ac:dyDescent="0.3">
      <c r="F1408" s="98"/>
    </row>
    <row r="1409" spans="6:6" x14ac:dyDescent="0.3">
      <c r="F1409" s="98"/>
    </row>
    <row r="1410" spans="6:6" x14ac:dyDescent="0.3">
      <c r="F1410" s="98"/>
    </row>
    <row r="1411" spans="6:6" x14ac:dyDescent="0.3">
      <c r="F1411" s="98"/>
    </row>
    <row r="1412" spans="6:6" x14ac:dyDescent="0.3">
      <c r="F1412" s="98"/>
    </row>
    <row r="1413" spans="6:6" x14ac:dyDescent="0.3">
      <c r="F1413" s="98"/>
    </row>
    <row r="1414" spans="6:6" x14ac:dyDescent="0.3">
      <c r="F1414" s="98"/>
    </row>
    <row r="1415" spans="6:6" x14ac:dyDescent="0.3">
      <c r="F1415" s="98"/>
    </row>
    <row r="1416" spans="6:6" x14ac:dyDescent="0.3">
      <c r="F1416" s="98"/>
    </row>
    <row r="1417" spans="6:6" x14ac:dyDescent="0.3">
      <c r="F1417" s="98"/>
    </row>
    <row r="1418" spans="6:6" x14ac:dyDescent="0.3">
      <c r="F1418" s="98"/>
    </row>
    <row r="1419" spans="6:6" x14ac:dyDescent="0.3">
      <c r="F1419" s="98"/>
    </row>
    <row r="1420" spans="6:6" x14ac:dyDescent="0.3">
      <c r="F1420" s="98"/>
    </row>
    <row r="1421" spans="6:6" x14ac:dyDescent="0.3">
      <c r="F1421" s="98"/>
    </row>
    <row r="1422" spans="6:6" x14ac:dyDescent="0.3">
      <c r="F1422" s="98"/>
    </row>
    <row r="1423" spans="6:6" x14ac:dyDescent="0.3">
      <c r="F1423" s="98"/>
    </row>
    <row r="1424" spans="6:6" x14ac:dyDescent="0.3">
      <c r="F1424" s="98"/>
    </row>
    <row r="1425" spans="6:6" x14ac:dyDescent="0.3">
      <c r="F1425" s="98"/>
    </row>
    <row r="1426" spans="6:6" x14ac:dyDescent="0.3">
      <c r="F1426" s="98"/>
    </row>
    <row r="1427" spans="6:6" x14ac:dyDescent="0.3">
      <c r="F1427" s="98"/>
    </row>
    <row r="1428" spans="6:6" x14ac:dyDescent="0.3">
      <c r="F1428" s="98"/>
    </row>
    <row r="1429" spans="6:6" x14ac:dyDescent="0.3">
      <c r="F1429" s="98"/>
    </row>
    <row r="1430" spans="6:6" x14ac:dyDescent="0.3">
      <c r="F1430" s="98"/>
    </row>
    <row r="1431" spans="6:6" x14ac:dyDescent="0.3">
      <c r="F1431" s="98"/>
    </row>
    <row r="1432" spans="6:6" x14ac:dyDescent="0.3">
      <c r="F1432" s="98"/>
    </row>
    <row r="1433" spans="6:6" x14ac:dyDescent="0.3">
      <c r="F1433" s="98"/>
    </row>
    <row r="1434" spans="6:6" x14ac:dyDescent="0.3">
      <c r="F1434" s="98"/>
    </row>
    <row r="1435" spans="6:6" x14ac:dyDescent="0.3">
      <c r="F1435" s="98"/>
    </row>
    <row r="1436" spans="6:6" x14ac:dyDescent="0.3">
      <c r="F1436" s="98"/>
    </row>
    <row r="1437" spans="6:6" x14ac:dyDescent="0.3">
      <c r="F1437" s="98"/>
    </row>
    <row r="1438" spans="6:6" x14ac:dyDescent="0.3">
      <c r="F1438" s="98"/>
    </row>
    <row r="1439" spans="6:6" x14ac:dyDescent="0.3">
      <c r="F1439" s="98"/>
    </row>
    <row r="1440" spans="6:6" x14ac:dyDescent="0.3">
      <c r="F1440" s="98"/>
    </row>
    <row r="1441" spans="6:6" x14ac:dyDescent="0.3">
      <c r="F1441" s="98"/>
    </row>
    <row r="1442" spans="6:6" x14ac:dyDescent="0.3">
      <c r="F1442" s="98"/>
    </row>
    <row r="1443" spans="6:6" x14ac:dyDescent="0.3">
      <c r="F1443" s="98"/>
    </row>
    <row r="1444" spans="6:6" x14ac:dyDescent="0.3">
      <c r="F1444" s="98"/>
    </row>
    <row r="1445" spans="6:6" x14ac:dyDescent="0.3">
      <c r="F1445" s="98"/>
    </row>
    <row r="1446" spans="6:6" x14ac:dyDescent="0.3">
      <c r="F1446" s="98"/>
    </row>
    <row r="1447" spans="6:6" x14ac:dyDescent="0.3">
      <c r="F1447" s="98"/>
    </row>
    <row r="1448" spans="6:6" x14ac:dyDescent="0.3">
      <c r="F1448" s="98"/>
    </row>
    <row r="1449" spans="6:6" x14ac:dyDescent="0.3">
      <c r="F1449" s="98"/>
    </row>
    <row r="1450" spans="6:6" x14ac:dyDescent="0.3">
      <c r="F1450" s="98"/>
    </row>
    <row r="1451" spans="6:6" x14ac:dyDescent="0.3">
      <c r="F1451" s="98"/>
    </row>
    <row r="1452" spans="6:6" x14ac:dyDescent="0.3">
      <c r="F1452" s="98"/>
    </row>
    <row r="1453" spans="6:6" x14ac:dyDescent="0.3">
      <c r="F1453" s="98"/>
    </row>
    <row r="1454" spans="6:6" x14ac:dyDescent="0.3">
      <c r="F1454" s="98"/>
    </row>
    <row r="1455" spans="6:6" x14ac:dyDescent="0.3">
      <c r="F1455" s="98"/>
    </row>
    <row r="1456" spans="6:6" x14ac:dyDescent="0.3">
      <c r="F1456" s="98"/>
    </row>
    <row r="1457" spans="6:6" x14ac:dyDescent="0.3">
      <c r="F1457" s="98"/>
    </row>
    <row r="1458" spans="6:6" x14ac:dyDescent="0.3">
      <c r="F1458" s="98"/>
    </row>
    <row r="1459" spans="6:6" x14ac:dyDescent="0.3">
      <c r="F1459" s="98"/>
    </row>
    <row r="1460" spans="6:6" x14ac:dyDescent="0.3">
      <c r="F1460" s="98"/>
    </row>
    <row r="1461" spans="6:6" x14ac:dyDescent="0.3">
      <c r="F1461" s="98"/>
    </row>
    <row r="1462" spans="6:6" x14ac:dyDescent="0.3">
      <c r="F1462" s="98"/>
    </row>
    <row r="1463" spans="6:6" x14ac:dyDescent="0.3">
      <c r="F1463" s="98"/>
    </row>
    <row r="1464" spans="6:6" x14ac:dyDescent="0.3">
      <c r="F1464" s="98"/>
    </row>
    <row r="1465" spans="6:6" x14ac:dyDescent="0.3">
      <c r="F1465" s="98"/>
    </row>
    <row r="1466" spans="6:6" x14ac:dyDescent="0.3">
      <c r="F1466" s="98"/>
    </row>
    <row r="1467" spans="6:6" x14ac:dyDescent="0.3">
      <c r="F1467" s="98"/>
    </row>
    <row r="1468" spans="6:6" x14ac:dyDescent="0.3">
      <c r="F1468" s="98"/>
    </row>
    <row r="1469" spans="6:6" x14ac:dyDescent="0.3">
      <c r="F1469" s="98"/>
    </row>
    <row r="1470" spans="6:6" x14ac:dyDescent="0.3">
      <c r="F1470" s="98"/>
    </row>
    <row r="1471" spans="6:6" x14ac:dyDescent="0.3">
      <c r="F1471" s="98"/>
    </row>
    <row r="1472" spans="6:6" x14ac:dyDescent="0.3">
      <c r="F1472" s="98"/>
    </row>
    <row r="1473" spans="6:6" x14ac:dyDescent="0.3">
      <c r="F1473" s="98"/>
    </row>
    <row r="1474" spans="6:6" x14ac:dyDescent="0.3">
      <c r="F1474" s="98"/>
    </row>
    <row r="1475" spans="6:6" x14ac:dyDescent="0.3">
      <c r="F1475" s="98"/>
    </row>
    <row r="1476" spans="6:6" x14ac:dyDescent="0.3">
      <c r="F1476" s="98"/>
    </row>
    <row r="1477" spans="6:6" x14ac:dyDescent="0.3">
      <c r="F1477" s="98"/>
    </row>
    <row r="1478" spans="6:6" x14ac:dyDescent="0.3">
      <c r="F1478" s="98"/>
    </row>
    <row r="1479" spans="6:6" x14ac:dyDescent="0.3">
      <c r="F1479" s="98"/>
    </row>
    <row r="1480" spans="6:6" x14ac:dyDescent="0.3">
      <c r="F1480" s="98"/>
    </row>
    <row r="1481" spans="6:6" x14ac:dyDescent="0.3">
      <c r="F1481" s="98"/>
    </row>
    <row r="1482" spans="6:6" x14ac:dyDescent="0.3">
      <c r="F1482" s="98"/>
    </row>
    <row r="1483" spans="6:6" x14ac:dyDescent="0.3">
      <c r="F1483" s="98"/>
    </row>
    <row r="1484" spans="6:6" x14ac:dyDescent="0.3">
      <c r="F1484" s="98"/>
    </row>
    <row r="1485" spans="6:6" x14ac:dyDescent="0.3">
      <c r="F1485" s="98"/>
    </row>
    <row r="1486" spans="6:6" x14ac:dyDescent="0.3">
      <c r="F1486" s="98"/>
    </row>
    <row r="1487" spans="6:6" x14ac:dyDescent="0.3">
      <c r="F1487" s="98"/>
    </row>
    <row r="1488" spans="6:6" x14ac:dyDescent="0.3">
      <c r="F1488" s="98"/>
    </row>
    <row r="1489" spans="6:6" x14ac:dyDescent="0.3">
      <c r="F1489" s="98"/>
    </row>
    <row r="1490" spans="6:6" x14ac:dyDescent="0.3">
      <c r="F1490" s="98"/>
    </row>
    <row r="1491" spans="6:6" x14ac:dyDescent="0.3">
      <c r="F1491" s="98"/>
    </row>
    <row r="1492" spans="6:6" x14ac:dyDescent="0.3">
      <c r="F1492" s="98"/>
    </row>
    <row r="1493" spans="6:6" x14ac:dyDescent="0.3">
      <c r="F1493" s="98"/>
    </row>
    <row r="1494" spans="6:6" x14ac:dyDescent="0.3">
      <c r="F1494" s="98"/>
    </row>
    <row r="1495" spans="6:6" x14ac:dyDescent="0.3">
      <c r="F1495" s="98"/>
    </row>
    <row r="1496" spans="6:6" x14ac:dyDescent="0.3">
      <c r="F1496" s="98"/>
    </row>
    <row r="1497" spans="6:6" x14ac:dyDescent="0.3">
      <c r="F1497" s="98"/>
    </row>
    <row r="1498" spans="6:6" x14ac:dyDescent="0.3">
      <c r="F1498" s="98"/>
    </row>
    <row r="1499" spans="6:6" x14ac:dyDescent="0.3">
      <c r="F1499" s="98"/>
    </row>
    <row r="1500" spans="6:6" x14ac:dyDescent="0.3">
      <c r="F1500" s="98"/>
    </row>
    <row r="1501" spans="6:6" x14ac:dyDescent="0.3">
      <c r="F1501" s="98"/>
    </row>
    <row r="1502" spans="6:6" x14ac:dyDescent="0.3">
      <c r="F1502" s="98"/>
    </row>
    <row r="1503" spans="6:6" x14ac:dyDescent="0.3">
      <c r="F1503" s="98"/>
    </row>
    <row r="1504" spans="6:6" x14ac:dyDescent="0.3">
      <c r="F1504" s="98"/>
    </row>
    <row r="1505" spans="6:6" x14ac:dyDescent="0.3">
      <c r="F1505" s="98"/>
    </row>
    <row r="1506" spans="6:6" x14ac:dyDescent="0.3">
      <c r="F1506" s="98"/>
    </row>
    <row r="1507" spans="6:6" x14ac:dyDescent="0.3">
      <c r="F1507" s="98"/>
    </row>
    <row r="1508" spans="6:6" x14ac:dyDescent="0.3">
      <c r="F1508" s="98"/>
    </row>
    <row r="1509" spans="6:6" x14ac:dyDescent="0.3">
      <c r="F1509" s="98"/>
    </row>
    <row r="1510" spans="6:6" x14ac:dyDescent="0.3">
      <c r="F1510" s="98"/>
    </row>
    <row r="1511" spans="6:6" x14ac:dyDescent="0.3">
      <c r="F1511" s="98"/>
    </row>
    <row r="1512" spans="6:6" x14ac:dyDescent="0.3">
      <c r="F1512" s="98"/>
    </row>
    <row r="1513" spans="6:6" x14ac:dyDescent="0.3">
      <c r="F1513" s="98"/>
    </row>
    <row r="1514" spans="6:6" x14ac:dyDescent="0.3">
      <c r="F1514" s="98"/>
    </row>
    <row r="1515" spans="6:6" x14ac:dyDescent="0.3">
      <c r="F1515" s="98"/>
    </row>
    <row r="1516" spans="6:6" x14ac:dyDescent="0.3">
      <c r="F1516" s="98"/>
    </row>
    <row r="1517" spans="6:6" x14ac:dyDescent="0.3">
      <c r="F1517" s="98"/>
    </row>
    <row r="1518" spans="6:6" x14ac:dyDescent="0.3">
      <c r="F1518" s="98"/>
    </row>
    <row r="1519" spans="6:6" x14ac:dyDescent="0.3">
      <c r="F1519" s="98"/>
    </row>
    <row r="1520" spans="6:6" x14ac:dyDescent="0.3">
      <c r="F1520" s="98"/>
    </row>
    <row r="1521" spans="6:6" x14ac:dyDescent="0.3">
      <c r="F1521" s="98"/>
    </row>
    <row r="1522" spans="6:6" x14ac:dyDescent="0.3">
      <c r="F1522" s="98"/>
    </row>
    <row r="1523" spans="6:6" x14ac:dyDescent="0.3">
      <c r="F1523" s="98"/>
    </row>
    <row r="1524" spans="6:6" x14ac:dyDescent="0.3">
      <c r="F1524" s="98"/>
    </row>
    <row r="1525" spans="6:6" x14ac:dyDescent="0.3">
      <c r="F1525" s="98"/>
    </row>
    <row r="1526" spans="6:6" x14ac:dyDescent="0.3">
      <c r="F1526" s="98"/>
    </row>
    <row r="1527" spans="6:6" x14ac:dyDescent="0.3">
      <c r="F1527" s="98"/>
    </row>
    <row r="1528" spans="6:6" x14ac:dyDescent="0.3">
      <c r="F1528" s="98"/>
    </row>
    <row r="1529" spans="6:6" x14ac:dyDescent="0.3">
      <c r="F1529" s="98"/>
    </row>
    <row r="1530" spans="6:6" x14ac:dyDescent="0.3">
      <c r="F1530" s="98"/>
    </row>
    <row r="1531" spans="6:6" x14ac:dyDescent="0.3">
      <c r="F1531" s="98"/>
    </row>
    <row r="1532" spans="6:6" x14ac:dyDescent="0.3">
      <c r="F1532" s="98"/>
    </row>
    <row r="1533" spans="6:6" x14ac:dyDescent="0.3">
      <c r="F1533" s="98"/>
    </row>
    <row r="1534" spans="6:6" x14ac:dyDescent="0.3">
      <c r="F1534" s="98"/>
    </row>
    <row r="1535" spans="6:6" x14ac:dyDescent="0.3">
      <c r="F1535" s="98"/>
    </row>
    <row r="1536" spans="6:6" x14ac:dyDescent="0.3">
      <c r="F1536" s="98"/>
    </row>
    <row r="1537" spans="6:6" x14ac:dyDescent="0.3">
      <c r="F1537" s="98"/>
    </row>
    <row r="1538" spans="6:6" x14ac:dyDescent="0.3">
      <c r="F1538" s="98"/>
    </row>
    <row r="1539" spans="6:6" x14ac:dyDescent="0.3">
      <c r="F1539" s="98"/>
    </row>
    <row r="1540" spans="6:6" x14ac:dyDescent="0.3">
      <c r="F1540" s="98"/>
    </row>
    <row r="1541" spans="6:6" x14ac:dyDescent="0.3">
      <c r="F1541" s="98"/>
    </row>
    <row r="1542" spans="6:6" x14ac:dyDescent="0.3">
      <c r="F1542" s="98"/>
    </row>
    <row r="1543" spans="6:6" x14ac:dyDescent="0.3">
      <c r="F1543" s="98"/>
    </row>
    <row r="1544" spans="6:6" x14ac:dyDescent="0.3">
      <c r="F1544" s="98"/>
    </row>
    <row r="1545" spans="6:6" x14ac:dyDescent="0.3">
      <c r="F1545" s="98"/>
    </row>
    <row r="1546" spans="6:6" x14ac:dyDescent="0.3">
      <c r="F1546" s="98"/>
    </row>
    <row r="1547" spans="6:6" x14ac:dyDescent="0.3">
      <c r="F1547" s="98"/>
    </row>
    <row r="1548" spans="6:6" x14ac:dyDescent="0.3">
      <c r="F1548" s="98"/>
    </row>
    <row r="1549" spans="6:6" x14ac:dyDescent="0.3">
      <c r="F1549" s="98"/>
    </row>
    <row r="1550" spans="6:6" x14ac:dyDescent="0.3">
      <c r="F1550" s="98"/>
    </row>
    <row r="1551" spans="6:6" x14ac:dyDescent="0.3">
      <c r="F1551" s="98"/>
    </row>
    <row r="1552" spans="6:6" x14ac:dyDescent="0.3">
      <c r="F1552" s="98"/>
    </row>
    <row r="1553" spans="6:6" x14ac:dyDescent="0.3">
      <c r="F1553" s="98"/>
    </row>
    <row r="1554" spans="6:6" x14ac:dyDescent="0.3">
      <c r="F1554" s="98"/>
    </row>
    <row r="1555" spans="6:6" x14ac:dyDescent="0.3">
      <c r="F1555" s="98"/>
    </row>
    <row r="1556" spans="6:6" x14ac:dyDescent="0.3">
      <c r="F1556" s="98"/>
    </row>
    <row r="1557" spans="6:6" x14ac:dyDescent="0.3">
      <c r="F1557" s="98"/>
    </row>
    <row r="1558" spans="6:6" x14ac:dyDescent="0.3">
      <c r="F1558" s="98"/>
    </row>
    <row r="1559" spans="6:6" x14ac:dyDescent="0.3">
      <c r="F1559" s="98"/>
    </row>
    <row r="1560" spans="6:6" x14ac:dyDescent="0.3">
      <c r="F1560" s="98"/>
    </row>
    <row r="1561" spans="6:6" x14ac:dyDescent="0.3">
      <c r="F1561" s="98"/>
    </row>
    <row r="1562" spans="6:6" x14ac:dyDescent="0.3">
      <c r="F1562" s="98"/>
    </row>
    <row r="1563" spans="6:6" x14ac:dyDescent="0.3">
      <c r="F1563" s="98"/>
    </row>
    <row r="1564" spans="6:6" x14ac:dyDescent="0.3">
      <c r="F1564" s="98"/>
    </row>
    <row r="1565" spans="6:6" x14ac:dyDescent="0.3">
      <c r="F1565" s="98"/>
    </row>
    <row r="1566" spans="6:6" x14ac:dyDescent="0.3">
      <c r="F1566" s="98"/>
    </row>
    <row r="1567" spans="6:6" x14ac:dyDescent="0.3">
      <c r="F1567" s="98"/>
    </row>
    <row r="1568" spans="6:6" x14ac:dyDescent="0.3">
      <c r="F1568" s="98"/>
    </row>
    <row r="1569" spans="6:6" x14ac:dyDescent="0.3">
      <c r="F1569" s="98"/>
    </row>
    <row r="1570" spans="6:6" x14ac:dyDescent="0.3">
      <c r="F1570" s="98"/>
    </row>
    <row r="1571" spans="6:6" x14ac:dyDescent="0.3">
      <c r="F1571" s="98"/>
    </row>
    <row r="1572" spans="6:6" x14ac:dyDescent="0.3">
      <c r="F1572" s="98"/>
    </row>
    <row r="1573" spans="6:6" x14ac:dyDescent="0.3">
      <c r="F1573" s="98"/>
    </row>
    <row r="1574" spans="6:6" x14ac:dyDescent="0.3">
      <c r="F1574" s="98"/>
    </row>
    <row r="1575" spans="6:6" x14ac:dyDescent="0.3">
      <c r="F1575" s="98"/>
    </row>
    <row r="1576" spans="6:6" x14ac:dyDescent="0.3">
      <c r="F1576" s="98"/>
    </row>
    <row r="1577" spans="6:6" x14ac:dyDescent="0.3">
      <c r="F1577" s="98"/>
    </row>
    <row r="1578" spans="6:6" x14ac:dyDescent="0.3">
      <c r="F1578" s="98"/>
    </row>
    <row r="1579" spans="6:6" x14ac:dyDescent="0.3">
      <c r="F1579" s="98"/>
    </row>
    <row r="1580" spans="6:6" x14ac:dyDescent="0.3">
      <c r="F1580" s="98"/>
    </row>
    <row r="1581" spans="6:6" x14ac:dyDescent="0.3">
      <c r="F1581" s="98"/>
    </row>
    <row r="1582" spans="6:6" x14ac:dyDescent="0.3">
      <c r="F1582" s="98"/>
    </row>
    <row r="1583" spans="6:6" x14ac:dyDescent="0.3">
      <c r="F1583" s="98"/>
    </row>
    <row r="1584" spans="6:6" x14ac:dyDescent="0.3">
      <c r="F1584" s="98"/>
    </row>
    <row r="1585" spans="6:6" x14ac:dyDescent="0.3">
      <c r="F1585" s="98"/>
    </row>
    <row r="1586" spans="6:6" x14ac:dyDescent="0.3">
      <c r="F1586" s="98"/>
    </row>
    <row r="1587" spans="6:6" x14ac:dyDescent="0.3">
      <c r="F1587" s="98"/>
    </row>
    <row r="1588" spans="6:6" x14ac:dyDescent="0.3">
      <c r="F1588" s="98"/>
    </row>
    <row r="1589" spans="6:6" x14ac:dyDescent="0.3">
      <c r="F1589" s="98"/>
    </row>
    <row r="1590" spans="6:6" x14ac:dyDescent="0.3">
      <c r="F1590" s="98"/>
    </row>
    <row r="1591" spans="6:6" x14ac:dyDescent="0.3">
      <c r="F1591" s="98"/>
    </row>
    <row r="1592" spans="6:6" x14ac:dyDescent="0.3">
      <c r="F1592" s="98"/>
    </row>
    <row r="1593" spans="6:6" x14ac:dyDescent="0.3">
      <c r="F1593" s="98"/>
    </row>
    <row r="1594" spans="6:6" x14ac:dyDescent="0.3">
      <c r="F1594" s="98"/>
    </row>
    <row r="1595" spans="6:6" x14ac:dyDescent="0.3">
      <c r="F1595" s="98"/>
    </row>
    <row r="1596" spans="6:6" x14ac:dyDescent="0.3">
      <c r="F1596" s="98"/>
    </row>
    <row r="1597" spans="6:6" x14ac:dyDescent="0.3">
      <c r="F1597" s="98"/>
    </row>
    <row r="1598" spans="6:6" x14ac:dyDescent="0.3">
      <c r="F1598" s="98"/>
    </row>
    <row r="1599" spans="6:6" x14ac:dyDescent="0.3">
      <c r="F1599" s="98"/>
    </row>
    <row r="1600" spans="6:6" x14ac:dyDescent="0.3">
      <c r="F1600" s="98"/>
    </row>
    <row r="1601" spans="6:6" x14ac:dyDescent="0.3">
      <c r="F1601" s="98"/>
    </row>
    <row r="1602" spans="6:6" x14ac:dyDescent="0.3">
      <c r="F1602" s="98"/>
    </row>
    <row r="1603" spans="6:6" x14ac:dyDescent="0.3">
      <c r="F1603" s="98"/>
    </row>
    <row r="1604" spans="6:6" x14ac:dyDescent="0.3">
      <c r="F1604" s="98"/>
    </row>
    <row r="1605" spans="6:6" x14ac:dyDescent="0.3">
      <c r="F1605" s="98"/>
    </row>
    <row r="1606" spans="6:6" x14ac:dyDescent="0.3">
      <c r="F1606" s="98"/>
    </row>
    <row r="1607" spans="6:6" x14ac:dyDescent="0.3">
      <c r="F1607" s="98"/>
    </row>
    <row r="1608" spans="6:6" x14ac:dyDescent="0.3">
      <c r="F1608" s="98"/>
    </row>
    <row r="1609" spans="6:6" x14ac:dyDescent="0.3">
      <c r="F1609" s="98"/>
    </row>
    <row r="1610" spans="6:6" x14ac:dyDescent="0.3">
      <c r="F1610" s="98"/>
    </row>
    <row r="1611" spans="6:6" x14ac:dyDescent="0.3">
      <c r="F1611" s="98"/>
    </row>
    <row r="1612" spans="6:6" x14ac:dyDescent="0.3">
      <c r="F1612" s="98"/>
    </row>
    <row r="1613" spans="6:6" x14ac:dyDescent="0.3">
      <c r="F1613" s="98"/>
    </row>
    <row r="1614" spans="6:6" x14ac:dyDescent="0.3">
      <c r="F1614" s="98"/>
    </row>
    <row r="1615" spans="6:6" x14ac:dyDescent="0.3">
      <c r="F1615" s="98"/>
    </row>
    <row r="1616" spans="6:6" x14ac:dyDescent="0.3">
      <c r="F1616" s="98"/>
    </row>
    <row r="1617" spans="6:6" x14ac:dyDescent="0.3">
      <c r="F1617" s="98"/>
    </row>
    <row r="1618" spans="6:6" x14ac:dyDescent="0.3">
      <c r="F1618" s="98"/>
    </row>
    <row r="1619" spans="6:6" x14ac:dyDescent="0.3">
      <c r="F1619" s="98"/>
    </row>
    <row r="1620" spans="6:6" x14ac:dyDescent="0.3">
      <c r="F1620" s="98"/>
    </row>
    <row r="1621" spans="6:6" x14ac:dyDescent="0.3">
      <c r="F1621" s="98"/>
    </row>
    <row r="1622" spans="6:6" x14ac:dyDescent="0.3">
      <c r="F1622" s="98"/>
    </row>
    <row r="1623" spans="6:6" x14ac:dyDescent="0.3">
      <c r="F1623" s="98"/>
    </row>
    <row r="1624" spans="6:6" x14ac:dyDescent="0.3">
      <c r="F1624" s="98"/>
    </row>
    <row r="1625" spans="6:6" x14ac:dyDescent="0.3">
      <c r="F1625" s="98"/>
    </row>
    <row r="1626" spans="6:6" x14ac:dyDescent="0.3">
      <c r="F1626" s="98"/>
    </row>
    <row r="1627" spans="6:6" x14ac:dyDescent="0.3">
      <c r="F1627" s="98"/>
    </row>
    <row r="1628" spans="6:6" x14ac:dyDescent="0.3">
      <c r="F1628" s="98"/>
    </row>
    <row r="1629" spans="6:6" x14ac:dyDescent="0.3">
      <c r="F1629" s="98"/>
    </row>
    <row r="1630" spans="6:6" x14ac:dyDescent="0.3">
      <c r="F1630" s="98"/>
    </row>
    <row r="1631" spans="6:6" x14ac:dyDescent="0.3">
      <c r="F1631" s="98"/>
    </row>
    <row r="1632" spans="6:6" x14ac:dyDescent="0.3">
      <c r="F1632" s="98"/>
    </row>
    <row r="1633" spans="6:6" x14ac:dyDescent="0.3">
      <c r="F1633" s="98"/>
    </row>
    <row r="1634" spans="6:6" x14ac:dyDescent="0.3">
      <c r="F1634" s="98"/>
    </row>
    <row r="1635" spans="6:6" x14ac:dyDescent="0.3">
      <c r="F1635" s="98"/>
    </row>
    <row r="1636" spans="6:6" x14ac:dyDescent="0.3">
      <c r="F1636" s="98"/>
    </row>
    <row r="1637" spans="6:6" x14ac:dyDescent="0.3">
      <c r="F1637" s="98"/>
    </row>
    <row r="1638" spans="6:6" x14ac:dyDescent="0.3">
      <c r="F1638" s="98"/>
    </row>
    <row r="1639" spans="6:6" x14ac:dyDescent="0.3">
      <c r="F1639" s="98"/>
    </row>
    <row r="1640" spans="6:6" x14ac:dyDescent="0.3">
      <c r="F1640" s="98"/>
    </row>
    <row r="1641" spans="6:6" x14ac:dyDescent="0.3">
      <c r="F1641" s="98"/>
    </row>
    <row r="1642" spans="6:6" x14ac:dyDescent="0.3">
      <c r="F1642" s="98"/>
    </row>
    <row r="1643" spans="6:6" x14ac:dyDescent="0.3">
      <c r="F1643" s="98"/>
    </row>
    <row r="1644" spans="6:6" x14ac:dyDescent="0.3">
      <c r="F1644" s="98"/>
    </row>
    <row r="1645" spans="6:6" x14ac:dyDescent="0.3">
      <c r="F1645" s="98"/>
    </row>
    <row r="1646" spans="6:6" x14ac:dyDescent="0.3">
      <c r="F1646" s="98"/>
    </row>
    <row r="1647" spans="6:6" x14ac:dyDescent="0.3">
      <c r="F1647" s="98"/>
    </row>
    <row r="1648" spans="6:6" x14ac:dyDescent="0.3">
      <c r="F1648" s="98"/>
    </row>
    <row r="1649" spans="6:6" x14ac:dyDescent="0.3">
      <c r="F1649" s="98"/>
    </row>
    <row r="1650" spans="6:6" x14ac:dyDescent="0.3">
      <c r="F1650" s="98"/>
    </row>
    <row r="1651" spans="6:6" x14ac:dyDescent="0.3">
      <c r="F1651" s="98"/>
    </row>
    <row r="1652" spans="6:6" x14ac:dyDescent="0.3">
      <c r="F1652" s="98"/>
    </row>
    <row r="1653" spans="6:6" x14ac:dyDescent="0.3">
      <c r="F1653" s="98"/>
    </row>
    <row r="1654" spans="6:6" x14ac:dyDescent="0.3">
      <c r="F1654" s="98"/>
    </row>
    <row r="1655" spans="6:6" x14ac:dyDescent="0.3">
      <c r="F1655" s="98"/>
    </row>
    <row r="1656" spans="6:6" x14ac:dyDescent="0.3">
      <c r="F1656" s="98"/>
    </row>
    <row r="1657" spans="6:6" x14ac:dyDescent="0.3">
      <c r="F1657" s="98"/>
    </row>
    <row r="1658" spans="6:6" x14ac:dyDescent="0.3">
      <c r="F1658" s="98"/>
    </row>
    <row r="1659" spans="6:6" x14ac:dyDescent="0.3">
      <c r="F1659" s="98"/>
    </row>
    <row r="1660" spans="6:6" x14ac:dyDescent="0.3">
      <c r="F1660" s="98"/>
    </row>
    <row r="1661" spans="6:6" x14ac:dyDescent="0.3">
      <c r="F1661" s="98"/>
    </row>
    <row r="1662" spans="6:6" x14ac:dyDescent="0.3">
      <c r="F1662" s="98"/>
    </row>
    <row r="1663" spans="6:6" x14ac:dyDescent="0.3">
      <c r="F1663" s="98"/>
    </row>
    <row r="1664" spans="6:6" x14ac:dyDescent="0.3">
      <c r="F1664" s="98"/>
    </row>
    <row r="1665" spans="6:6" x14ac:dyDescent="0.3">
      <c r="F1665" s="98"/>
    </row>
    <row r="1666" spans="6:6" x14ac:dyDescent="0.3">
      <c r="F1666" s="98"/>
    </row>
    <row r="1667" spans="6:6" x14ac:dyDescent="0.3">
      <c r="F1667" s="98"/>
    </row>
    <row r="1668" spans="6:6" x14ac:dyDescent="0.3">
      <c r="F1668" s="98"/>
    </row>
    <row r="1669" spans="6:6" x14ac:dyDescent="0.3">
      <c r="F1669" s="98"/>
    </row>
    <row r="1670" spans="6:6" x14ac:dyDescent="0.3">
      <c r="F1670" s="98"/>
    </row>
    <row r="1671" spans="6:6" x14ac:dyDescent="0.3">
      <c r="F1671" s="98"/>
    </row>
    <row r="1672" spans="6:6" x14ac:dyDescent="0.3">
      <c r="F1672" s="98"/>
    </row>
    <row r="1673" spans="6:6" x14ac:dyDescent="0.3">
      <c r="F1673" s="98"/>
    </row>
    <row r="1674" spans="6:6" x14ac:dyDescent="0.3">
      <c r="F1674" s="98"/>
    </row>
    <row r="1675" spans="6:6" x14ac:dyDescent="0.3">
      <c r="F1675" s="98"/>
    </row>
    <row r="1676" spans="6:6" x14ac:dyDescent="0.3">
      <c r="F1676" s="98"/>
    </row>
    <row r="1677" spans="6:6" x14ac:dyDescent="0.3">
      <c r="F1677" s="98"/>
    </row>
    <row r="1678" spans="6:6" x14ac:dyDescent="0.3">
      <c r="F1678" s="98"/>
    </row>
    <row r="1679" spans="6:6" x14ac:dyDescent="0.3">
      <c r="F1679" s="98"/>
    </row>
    <row r="1680" spans="6:6" x14ac:dyDescent="0.3">
      <c r="F1680" s="98"/>
    </row>
    <row r="1681" spans="6:6" x14ac:dyDescent="0.3">
      <c r="F1681" s="98"/>
    </row>
    <row r="1682" spans="6:6" x14ac:dyDescent="0.3">
      <c r="F1682" s="98"/>
    </row>
    <row r="1683" spans="6:6" x14ac:dyDescent="0.3">
      <c r="F1683" s="98"/>
    </row>
    <row r="1684" spans="6:6" x14ac:dyDescent="0.3">
      <c r="F1684" s="98"/>
    </row>
    <row r="1685" spans="6:6" x14ac:dyDescent="0.3">
      <c r="F1685" s="98"/>
    </row>
    <row r="1686" spans="6:6" x14ac:dyDescent="0.3">
      <c r="F1686" s="98"/>
    </row>
    <row r="1687" spans="6:6" x14ac:dyDescent="0.3">
      <c r="F1687" s="98"/>
    </row>
    <row r="1688" spans="6:6" x14ac:dyDescent="0.3">
      <c r="F1688" s="98"/>
    </row>
    <row r="1689" spans="6:6" x14ac:dyDescent="0.3">
      <c r="F1689" s="98"/>
    </row>
    <row r="1690" spans="6:6" x14ac:dyDescent="0.3">
      <c r="F1690" s="98"/>
    </row>
    <row r="1691" spans="6:6" x14ac:dyDescent="0.3">
      <c r="F1691" s="98"/>
    </row>
    <row r="1692" spans="6:6" x14ac:dyDescent="0.3">
      <c r="F1692" s="98"/>
    </row>
    <row r="1693" spans="6:6" x14ac:dyDescent="0.3">
      <c r="F1693" s="98"/>
    </row>
    <row r="1694" spans="6:6" x14ac:dyDescent="0.3">
      <c r="F1694" s="98"/>
    </row>
    <row r="1695" spans="6:6" x14ac:dyDescent="0.3">
      <c r="F1695" s="98"/>
    </row>
    <row r="1696" spans="6:6" x14ac:dyDescent="0.3">
      <c r="F1696" s="98"/>
    </row>
    <row r="1697" spans="6:6" x14ac:dyDescent="0.3">
      <c r="F1697" s="98"/>
    </row>
    <row r="1698" spans="6:6" x14ac:dyDescent="0.3">
      <c r="F1698" s="98"/>
    </row>
    <row r="1699" spans="6:6" x14ac:dyDescent="0.3">
      <c r="F1699" s="98"/>
    </row>
    <row r="1700" spans="6:6" x14ac:dyDescent="0.3">
      <c r="F1700" s="98"/>
    </row>
    <row r="1701" spans="6:6" x14ac:dyDescent="0.3">
      <c r="F1701" s="98"/>
    </row>
    <row r="1702" spans="6:6" x14ac:dyDescent="0.3">
      <c r="F1702" s="98"/>
    </row>
    <row r="1703" spans="6:6" x14ac:dyDescent="0.3">
      <c r="F1703" s="98"/>
    </row>
    <row r="1704" spans="6:6" x14ac:dyDescent="0.3">
      <c r="F1704" s="98"/>
    </row>
    <row r="1705" spans="6:6" x14ac:dyDescent="0.3">
      <c r="F1705" s="98"/>
    </row>
    <row r="1706" spans="6:6" x14ac:dyDescent="0.3">
      <c r="F1706" s="98"/>
    </row>
    <row r="1707" spans="6:6" x14ac:dyDescent="0.3">
      <c r="F1707" s="98"/>
    </row>
    <row r="1708" spans="6:6" x14ac:dyDescent="0.3">
      <c r="F1708" s="98"/>
    </row>
    <row r="1709" spans="6:6" x14ac:dyDescent="0.3">
      <c r="F1709" s="98"/>
    </row>
    <row r="1710" spans="6:6" x14ac:dyDescent="0.3">
      <c r="F1710" s="98"/>
    </row>
    <row r="1711" spans="6:6" x14ac:dyDescent="0.3">
      <c r="F1711" s="98"/>
    </row>
    <row r="1712" spans="6:6" x14ac:dyDescent="0.3">
      <c r="F1712" s="98"/>
    </row>
    <row r="1713" spans="6:6" x14ac:dyDescent="0.3">
      <c r="F1713" s="98"/>
    </row>
    <row r="1714" spans="6:6" x14ac:dyDescent="0.3">
      <c r="F1714" s="98"/>
    </row>
    <row r="1715" spans="6:6" x14ac:dyDescent="0.3">
      <c r="F1715" s="98"/>
    </row>
    <row r="1716" spans="6:6" x14ac:dyDescent="0.3">
      <c r="F1716" s="98"/>
    </row>
    <row r="1717" spans="6:6" x14ac:dyDescent="0.3">
      <c r="F1717" s="98"/>
    </row>
    <row r="1718" spans="6:6" x14ac:dyDescent="0.3">
      <c r="F1718" s="98"/>
    </row>
    <row r="1719" spans="6:6" x14ac:dyDescent="0.3">
      <c r="F1719" s="98"/>
    </row>
    <row r="1720" spans="6:6" x14ac:dyDescent="0.3">
      <c r="F1720" s="98"/>
    </row>
    <row r="1721" spans="6:6" x14ac:dyDescent="0.3">
      <c r="F1721" s="98"/>
    </row>
    <row r="1722" spans="6:6" x14ac:dyDescent="0.3">
      <c r="F1722" s="98"/>
    </row>
    <row r="1723" spans="6:6" x14ac:dyDescent="0.3">
      <c r="F1723" s="98"/>
    </row>
    <row r="1724" spans="6:6" x14ac:dyDescent="0.3">
      <c r="F1724" s="98"/>
    </row>
    <row r="1725" spans="6:6" x14ac:dyDescent="0.3">
      <c r="F1725" s="98"/>
    </row>
    <row r="1726" spans="6:6" x14ac:dyDescent="0.3">
      <c r="F1726" s="98"/>
    </row>
    <row r="1727" spans="6:6" x14ac:dyDescent="0.3">
      <c r="F1727" s="98"/>
    </row>
    <row r="1728" spans="6:6" x14ac:dyDescent="0.3">
      <c r="F1728" s="98"/>
    </row>
    <row r="1729" spans="6:6" x14ac:dyDescent="0.3">
      <c r="F1729" s="98"/>
    </row>
    <row r="1730" spans="6:6" x14ac:dyDescent="0.3">
      <c r="F1730" s="98"/>
    </row>
    <row r="1731" spans="6:6" x14ac:dyDescent="0.3">
      <c r="F1731" s="98"/>
    </row>
    <row r="1732" spans="6:6" x14ac:dyDescent="0.3">
      <c r="F1732" s="98"/>
    </row>
    <row r="1733" spans="6:6" x14ac:dyDescent="0.3">
      <c r="F1733" s="98"/>
    </row>
    <row r="1734" spans="6:6" x14ac:dyDescent="0.3">
      <c r="F1734" s="98"/>
    </row>
    <row r="1735" spans="6:6" x14ac:dyDescent="0.3">
      <c r="F1735" s="98"/>
    </row>
    <row r="1736" spans="6:6" x14ac:dyDescent="0.3">
      <c r="F1736" s="98"/>
    </row>
    <row r="1737" spans="6:6" x14ac:dyDescent="0.3">
      <c r="F1737" s="98"/>
    </row>
    <row r="1738" spans="6:6" x14ac:dyDescent="0.3">
      <c r="F1738" s="98"/>
    </row>
    <row r="1739" spans="6:6" x14ac:dyDescent="0.3">
      <c r="F1739" s="98"/>
    </row>
    <row r="1740" spans="6:6" x14ac:dyDescent="0.3">
      <c r="F1740" s="98"/>
    </row>
    <row r="1741" spans="6:6" x14ac:dyDescent="0.3">
      <c r="F1741" s="98"/>
    </row>
    <row r="1742" spans="6:6" x14ac:dyDescent="0.3">
      <c r="F1742" s="98"/>
    </row>
    <row r="1743" spans="6:6" x14ac:dyDescent="0.3">
      <c r="F1743" s="98"/>
    </row>
    <row r="1744" spans="6:6" x14ac:dyDescent="0.3">
      <c r="F1744" s="98"/>
    </row>
    <row r="1745" spans="6:6" x14ac:dyDescent="0.3">
      <c r="F1745" s="98"/>
    </row>
    <row r="1746" spans="6:6" x14ac:dyDescent="0.3">
      <c r="F1746" s="98"/>
    </row>
    <row r="1747" spans="6:6" x14ac:dyDescent="0.3">
      <c r="F1747" s="98"/>
    </row>
    <row r="1748" spans="6:6" x14ac:dyDescent="0.3">
      <c r="F1748" s="98"/>
    </row>
    <row r="1749" spans="6:6" x14ac:dyDescent="0.3">
      <c r="F1749" s="98"/>
    </row>
    <row r="1750" spans="6:6" x14ac:dyDescent="0.3">
      <c r="F1750" s="98"/>
    </row>
    <row r="1751" spans="6:6" x14ac:dyDescent="0.3">
      <c r="F1751" s="98"/>
    </row>
    <row r="1752" spans="6:6" x14ac:dyDescent="0.3">
      <c r="F1752" s="98"/>
    </row>
    <row r="1753" spans="6:6" x14ac:dyDescent="0.3">
      <c r="F1753" s="98"/>
    </row>
    <row r="1754" spans="6:6" x14ac:dyDescent="0.3">
      <c r="F1754" s="98"/>
    </row>
    <row r="1755" spans="6:6" x14ac:dyDescent="0.3">
      <c r="F1755" s="98"/>
    </row>
    <row r="1756" spans="6:6" x14ac:dyDescent="0.3">
      <c r="F1756" s="98"/>
    </row>
    <row r="1757" spans="6:6" x14ac:dyDescent="0.3">
      <c r="F1757" s="98"/>
    </row>
    <row r="1758" spans="6:6" x14ac:dyDescent="0.3">
      <c r="F1758" s="98"/>
    </row>
    <row r="1759" spans="6:6" x14ac:dyDescent="0.3">
      <c r="F1759" s="98"/>
    </row>
    <row r="1760" spans="6:6" x14ac:dyDescent="0.3">
      <c r="F1760" s="98"/>
    </row>
    <row r="1761" spans="6:6" x14ac:dyDescent="0.3">
      <c r="F1761" s="98"/>
    </row>
    <row r="1762" spans="6:6" x14ac:dyDescent="0.3">
      <c r="F1762" s="98"/>
    </row>
    <row r="1763" spans="6:6" x14ac:dyDescent="0.3">
      <c r="F1763" s="98"/>
    </row>
    <row r="1764" spans="6:6" x14ac:dyDescent="0.3">
      <c r="F1764" s="98"/>
    </row>
    <row r="1765" spans="6:6" x14ac:dyDescent="0.3">
      <c r="F1765" s="98"/>
    </row>
    <row r="1766" spans="6:6" x14ac:dyDescent="0.3">
      <c r="F1766" s="98"/>
    </row>
    <row r="1767" spans="6:6" x14ac:dyDescent="0.3">
      <c r="F1767" s="98"/>
    </row>
    <row r="1768" spans="6:6" x14ac:dyDescent="0.3">
      <c r="F1768" s="98"/>
    </row>
    <row r="1769" spans="6:6" x14ac:dyDescent="0.3">
      <c r="F1769" s="98"/>
    </row>
    <row r="1770" spans="6:6" x14ac:dyDescent="0.3">
      <c r="F1770" s="98"/>
    </row>
    <row r="1771" spans="6:6" x14ac:dyDescent="0.3">
      <c r="F1771" s="98"/>
    </row>
    <row r="1772" spans="6:6" x14ac:dyDescent="0.3">
      <c r="F1772" s="98"/>
    </row>
    <row r="1773" spans="6:6" x14ac:dyDescent="0.3">
      <c r="F1773" s="98"/>
    </row>
    <row r="1774" spans="6:6" x14ac:dyDescent="0.3">
      <c r="F1774" s="98"/>
    </row>
    <row r="1775" spans="6:6" x14ac:dyDescent="0.3">
      <c r="F1775" s="98"/>
    </row>
    <row r="1776" spans="6:6" x14ac:dyDescent="0.3">
      <c r="F1776" s="98"/>
    </row>
    <row r="1777" spans="6:6" x14ac:dyDescent="0.3">
      <c r="F1777" s="98"/>
    </row>
    <row r="1778" spans="6:6" x14ac:dyDescent="0.3">
      <c r="F1778" s="98"/>
    </row>
    <row r="1779" spans="6:6" x14ac:dyDescent="0.3">
      <c r="F1779" s="98"/>
    </row>
    <row r="1780" spans="6:6" x14ac:dyDescent="0.3">
      <c r="F1780" s="98"/>
    </row>
    <row r="1781" spans="6:6" x14ac:dyDescent="0.3">
      <c r="F1781" s="98"/>
    </row>
    <row r="1782" spans="6:6" x14ac:dyDescent="0.3">
      <c r="F1782" s="98"/>
    </row>
    <row r="1783" spans="6:6" x14ac:dyDescent="0.3">
      <c r="F1783" s="98"/>
    </row>
    <row r="1784" spans="6:6" x14ac:dyDescent="0.3">
      <c r="F1784" s="98"/>
    </row>
    <row r="1785" spans="6:6" x14ac:dyDescent="0.3">
      <c r="F1785" s="98"/>
    </row>
    <row r="1786" spans="6:6" x14ac:dyDescent="0.3">
      <c r="F1786" s="98"/>
    </row>
    <row r="1787" spans="6:6" x14ac:dyDescent="0.3">
      <c r="F1787" s="98"/>
    </row>
    <row r="1788" spans="6:6" x14ac:dyDescent="0.3">
      <c r="F1788" s="98"/>
    </row>
    <row r="1789" spans="6:6" x14ac:dyDescent="0.3">
      <c r="F1789" s="98"/>
    </row>
    <row r="1790" spans="6:6" x14ac:dyDescent="0.3">
      <c r="F1790" s="98"/>
    </row>
    <row r="1791" spans="6:6" x14ac:dyDescent="0.3">
      <c r="F1791" s="98"/>
    </row>
    <row r="1792" spans="6:6" x14ac:dyDescent="0.3">
      <c r="F1792" s="98"/>
    </row>
    <row r="1793" spans="6:6" x14ac:dyDescent="0.3">
      <c r="F1793" s="98"/>
    </row>
    <row r="1794" spans="6:6" x14ac:dyDescent="0.3">
      <c r="F1794" s="98"/>
    </row>
    <row r="1795" spans="6:6" x14ac:dyDescent="0.3">
      <c r="F1795" s="98"/>
    </row>
    <row r="1796" spans="6:6" x14ac:dyDescent="0.3">
      <c r="F1796" s="98"/>
    </row>
    <row r="1797" spans="6:6" x14ac:dyDescent="0.3">
      <c r="F1797" s="98"/>
    </row>
    <row r="1798" spans="6:6" x14ac:dyDescent="0.3">
      <c r="F1798" s="98"/>
    </row>
    <row r="1799" spans="6:6" x14ac:dyDescent="0.3">
      <c r="F1799" s="98"/>
    </row>
    <row r="1800" spans="6:6" x14ac:dyDescent="0.3">
      <c r="F1800" s="98"/>
    </row>
    <row r="1801" spans="6:6" x14ac:dyDescent="0.3">
      <c r="F1801" s="98"/>
    </row>
    <row r="1802" spans="6:6" x14ac:dyDescent="0.3">
      <c r="F1802" s="98"/>
    </row>
    <row r="1803" spans="6:6" x14ac:dyDescent="0.3">
      <c r="F1803" s="98"/>
    </row>
    <row r="1804" spans="6:6" x14ac:dyDescent="0.3">
      <c r="F1804" s="98"/>
    </row>
    <row r="1805" spans="6:6" x14ac:dyDescent="0.3">
      <c r="F1805" s="98"/>
    </row>
    <row r="1806" spans="6:6" x14ac:dyDescent="0.3">
      <c r="F1806" s="98"/>
    </row>
    <row r="1807" spans="6:6" x14ac:dyDescent="0.3">
      <c r="F1807" s="98"/>
    </row>
    <row r="1808" spans="6:6" x14ac:dyDescent="0.3">
      <c r="F1808" s="98"/>
    </row>
    <row r="1809" spans="6:6" x14ac:dyDescent="0.3">
      <c r="F1809" s="98"/>
    </row>
    <row r="1810" spans="6:6" x14ac:dyDescent="0.3">
      <c r="F1810" s="98"/>
    </row>
    <row r="1811" spans="6:6" x14ac:dyDescent="0.3">
      <c r="F1811" s="98"/>
    </row>
    <row r="1812" spans="6:6" x14ac:dyDescent="0.3">
      <c r="F1812" s="98"/>
    </row>
    <row r="1813" spans="6:6" x14ac:dyDescent="0.3">
      <c r="F1813" s="98"/>
    </row>
    <row r="1814" spans="6:6" x14ac:dyDescent="0.3">
      <c r="F1814" s="98"/>
    </row>
    <row r="1815" spans="6:6" x14ac:dyDescent="0.3">
      <c r="F1815" s="98"/>
    </row>
    <row r="1816" spans="6:6" x14ac:dyDescent="0.3">
      <c r="F1816" s="98"/>
    </row>
    <row r="1817" spans="6:6" x14ac:dyDescent="0.3">
      <c r="F1817" s="98"/>
    </row>
    <row r="1818" spans="6:6" x14ac:dyDescent="0.3">
      <c r="F1818" s="98"/>
    </row>
    <row r="1819" spans="6:6" x14ac:dyDescent="0.3">
      <c r="F1819" s="98"/>
    </row>
    <row r="1820" spans="6:6" x14ac:dyDescent="0.3">
      <c r="F1820" s="98"/>
    </row>
    <row r="1821" spans="6:6" x14ac:dyDescent="0.3">
      <c r="F1821" s="98"/>
    </row>
    <row r="1822" spans="6:6" x14ac:dyDescent="0.3">
      <c r="F1822" s="98"/>
    </row>
    <row r="1823" spans="6:6" x14ac:dyDescent="0.3">
      <c r="F1823" s="98"/>
    </row>
    <row r="1824" spans="6:6" x14ac:dyDescent="0.3">
      <c r="F1824" s="98"/>
    </row>
    <row r="1825" spans="6:6" x14ac:dyDescent="0.3">
      <c r="F1825" s="98"/>
    </row>
    <row r="1826" spans="6:6" x14ac:dyDescent="0.3">
      <c r="F1826" s="98"/>
    </row>
    <row r="1827" spans="6:6" x14ac:dyDescent="0.3">
      <c r="F1827" s="98"/>
    </row>
    <row r="1828" spans="6:6" x14ac:dyDescent="0.3">
      <c r="F1828" s="98"/>
    </row>
    <row r="1829" spans="6:6" x14ac:dyDescent="0.3">
      <c r="F1829" s="98"/>
    </row>
    <row r="1830" spans="6:6" x14ac:dyDescent="0.3">
      <c r="F1830" s="98"/>
    </row>
    <row r="1831" spans="6:6" x14ac:dyDescent="0.3">
      <c r="F1831" s="98"/>
    </row>
    <row r="1832" spans="6:6" x14ac:dyDescent="0.3">
      <c r="F1832" s="98"/>
    </row>
    <row r="1833" spans="6:6" x14ac:dyDescent="0.3">
      <c r="F1833" s="98"/>
    </row>
    <row r="1834" spans="6:6" x14ac:dyDescent="0.3">
      <c r="F1834" s="98"/>
    </row>
    <row r="1835" spans="6:6" x14ac:dyDescent="0.3">
      <c r="F1835" s="98"/>
    </row>
    <row r="1836" spans="6:6" x14ac:dyDescent="0.3">
      <c r="F1836" s="98"/>
    </row>
    <row r="1837" spans="6:6" x14ac:dyDescent="0.3">
      <c r="F1837" s="98"/>
    </row>
    <row r="1838" spans="6:6" x14ac:dyDescent="0.3">
      <c r="F1838" s="98"/>
    </row>
    <row r="1839" spans="6:6" x14ac:dyDescent="0.3">
      <c r="F1839" s="98"/>
    </row>
    <row r="1840" spans="6:6" x14ac:dyDescent="0.3">
      <c r="F1840" s="98"/>
    </row>
    <row r="1841" spans="6:6" x14ac:dyDescent="0.3">
      <c r="F1841" s="98"/>
    </row>
    <row r="1842" spans="6:6" x14ac:dyDescent="0.3">
      <c r="F1842" s="98"/>
    </row>
    <row r="1843" spans="6:6" x14ac:dyDescent="0.3">
      <c r="F1843" s="98"/>
    </row>
    <row r="1844" spans="6:6" x14ac:dyDescent="0.3">
      <c r="F1844" s="98"/>
    </row>
    <row r="1845" spans="6:6" x14ac:dyDescent="0.3">
      <c r="F1845" s="98"/>
    </row>
    <row r="1846" spans="6:6" x14ac:dyDescent="0.3">
      <c r="F1846" s="98"/>
    </row>
    <row r="1847" spans="6:6" x14ac:dyDescent="0.3">
      <c r="F1847" s="98"/>
    </row>
  </sheetData>
  <mergeCells count="2">
    <mergeCell ref="B2:F2"/>
    <mergeCell ref="B12:F12"/>
  </mergeCells>
  <dataValidations count="1">
    <dataValidation type="list" operator="greaterThanOrEqual" allowBlank="1" showInputMessage="1" showErrorMessage="1" sqref="C23" xr:uid="{CEC90FC8-F4F8-47B5-96F1-F2BA031A3070}">
      <formula1>"Yes, No"</formula1>
    </dataValidation>
  </dataValidations>
  <hyperlinks>
    <hyperlink ref="G2" location="'Excel Output'!C48" display="Return button" xr:uid="{F7C006E1-B21F-47A0-A739-C7B33DF0061D}"/>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425E-C846-47C1-A1EF-9B4AD15C7E71}">
  <sheetPr codeName="Sheet8">
    <tabColor theme="9" tint="0.59999389629810485"/>
  </sheetPr>
  <dimension ref="A1:T62"/>
  <sheetViews>
    <sheetView showGridLines="0" topLeftCell="A37" zoomScale="70" zoomScaleNormal="70" workbookViewId="0">
      <selection activeCell="G17" sqref="G17"/>
    </sheetView>
  </sheetViews>
  <sheetFormatPr defaultColWidth="16.44140625" defaultRowHeight="14.4" x14ac:dyDescent="0.3"/>
  <cols>
    <col min="1" max="1" width="9.44140625" style="333" bestFit="1" customWidth="1"/>
    <col min="2" max="2" width="47" style="2" customWidth="1"/>
    <col min="3" max="4" width="18.77734375" style="2" customWidth="1"/>
    <col min="5" max="5" width="23.77734375" style="2" customWidth="1"/>
    <col min="6" max="6" width="25.21875" style="16" customWidth="1"/>
    <col min="7" max="7" width="18.44140625" style="180" customWidth="1"/>
    <col min="8" max="8" width="88.77734375" style="17" customWidth="1"/>
    <col min="9" max="9" width="15.44140625" style="2" customWidth="1"/>
    <col min="10" max="10" width="13.44140625" style="2" customWidth="1"/>
    <col min="11" max="11" width="12.5546875" style="2" customWidth="1"/>
    <col min="12" max="14" width="18.77734375" style="2" customWidth="1"/>
    <col min="15" max="17" width="18.77734375" style="16" customWidth="1"/>
    <col min="18" max="18" width="22.21875" style="13" customWidth="1"/>
    <col min="19" max="19" width="20.77734375" style="17" customWidth="1"/>
    <col min="20" max="20" width="43" style="56" customWidth="1"/>
    <col min="21" max="21" width="70.44140625" style="2" customWidth="1"/>
    <col min="22" max="22" width="6.77734375" style="2" customWidth="1"/>
    <col min="23" max="23" width="70.44140625" style="2" customWidth="1"/>
    <col min="24" max="16384" width="16.44140625" style="2"/>
  </cols>
  <sheetData>
    <row r="1" spans="1:20" ht="20.25" customHeight="1" thickBot="1" x14ac:dyDescent="0.35">
      <c r="B1" s="58"/>
      <c r="C1" s="4"/>
      <c r="F1" s="1"/>
      <c r="G1" s="557"/>
      <c r="H1" s="45"/>
      <c r="J1" s="4"/>
      <c r="K1" s="4"/>
      <c r="L1" s="4"/>
      <c r="P1" s="899"/>
      <c r="Q1" s="899"/>
      <c r="R1"/>
    </row>
    <row r="2" spans="1:20" ht="21.6" thickBot="1" x14ac:dyDescent="0.45">
      <c r="B2" s="900" t="s">
        <v>224</v>
      </c>
      <c r="C2" s="900"/>
      <c r="D2" s="900"/>
      <c r="E2" s="900"/>
      <c r="F2" s="179"/>
      <c r="G2" s="466" t="s">
        <v>473</v>
      </c>
      <c r="H2" s="119"/>
      <c r="I2" s="13"/>
      <c r="J2" s="13"/>
      <c r="K2" s="13"/>
      <c r="L2" s="13"/>
      <c r="M2" s="13"/>
      <c r="N2" s="13"/>
      <c r="O2" s="13"/>
      <c r="P2" s="13"/>
      <c r="Q2" s="13"/>
      <c r="S2" s="9"/>
    </row>
    <row r="3" spans="1:20" ht="15" thickBot="1" x14ac:dyDescent="0.35">
      <c r="F3" s="44"/>
      <c r="H3" s="146"/>
      <c r="I3" s="13"/>
      <c r="J3" s="13"/>
      <c r="K3" s="13"/>
      <c r="L3" s="13"/>
      <c r="M3" s="13"/>
      <c r="N3" s="13"/>
      <c r="O3" s="13"/>
      <c r="P3" s="13"/>
      <c r="Q3" s="13"/>
    </row>
    <row r="4" spans="1:20" ht="20.25" customHeight="1" thickBot="1" x14ac:dyDescent="0.35">
      <c r="B4" s="5" t="s">
        <v>12</v>
      </c>
      <c r="C4" s="6"/>
      <c r="D4" s="6"/>
      <c r="E4" s="6"/>
      <c r="F4" s="72"/>
      <c r="G4" s="10"/>
      <c r="H4" s="11" t="s">
        <v>2</v>
      </c>
      <c r="I4" s="56"/>
    </row>
    <row r="5" spans="1:20" s="95" customFormat="1" ht="20.25" customHeight="1" thickBot="1" x14ac:dyDescent="0.35">
      <c r="A5" s="302"/>
      <c r="B5" s="7" t="s">
        <v>42</v>
      </c>
      <c r="C5" s="50"/>
      <c r="D5" s="50"/>
      <c r="E5" s="8"/>
      <c r="F5" s="845">
        <f>'Excel Output'!$D$23+Compute!$F$94*'Excel Output'!$D$23</f>
        <v>400</v>
      </c>
      <c r="G5" s="10"/>
      <c r="H5" s="501">
        <f>Compute!H6</f>
        <v>0</v>
      </c>
      <c r="I5" s="195"/>
      <c r="K5" s="100"/>
      <c r="L5" s="100"/>
      <c r="M5" s="100"/>
      <c r="N5" s="100"/>
      <c r="O5" s="100"/>
      <c r="P5" s="100"/>
      <c r="Q5" s="100"/>
      <c r="R5" s="100"/>
      <c r="S5" s="100"/>
      <c r="T5" s="195"/>
    </row>
    <row r="6" spans="1:20" s="63" customFormat="1" ht="20.25" customHeight="1" thickBot="1" x14ac:dyDescent="0.35">
      <c r="A6" s="333"/>
      <c r="B6" s="7" t="s">
        <v>53</v>
      </c>
      <c r="C6" s="77"/>
      <c r="D6" s="77"/>
      <c r="E6" s="112"/>
      <c r="F6" s="145">
        <f>F57</f>
        <v>6032</v>
      </c>
      <c r="G6" s="558" t="s">
        <v>503</v>
      </c>
      <c r="H6" s="503" t="s">
        <v>507</v>
      </c>
      <c r="I6" s="108"/>
      <c r="O6" s="109"/>
      <c r="P6" s="109"/>
      <c r="Q6" s="109"/>
      <c r="R6" s="110"/>
      <c r="S6" s="111"/>
      <c r="T6" s="108"/>
    </row>
    <row r="7" spans="1:20" s="95" customFormat="1" ht="20.25" customHeight="1" thickBot="1" x14ac:dyDescent="0.35">
      <c r="A7" s="302" t="str">
        <f>IF(Compute!$D$68="No","Hide","Show")</f>
        <v>Show</v>
      </c>
      <c r="B7" s="7" t="s">
        <v>654</v>
      </c>
      <c r="C7" s="612"/>
      <c r="D7" s="714"/>
      <c r="E7" s="613"/>
      <c r="F7" s="135">
        <f>Compute!F73</f>
        <v>0</v>
      </c>
      <c r="G7" s="614"/>
      <c r="H7" s="736">
        <f>Compute!H73</f>
        <v>0</v>
      </c>
      <c r="I7" s="195"/>
      <c r="K7" s="100"/>
      <c r="L7" s="100"/>
      <c r="M7" s="100"/>
      <c r="N7" s="100"/>
      <c r="O7" s="100"/>
      <c r="P7" s="100"/>
      <c r="Q7" s="100"/>
      <c r="R7" s="100"/>
      <c r="S7" s="100"/>
      <c r="T7" s="195"/>
    </row>
    <row r="8" spans="1:20" s="63" customFormat="1" ht="20.25" customHeight="1" thickBot="1" x14ac:dyDescent="0.35">
      <c r="A8" s="302" t="str">
        <f>IF(Compute!$D$68="No","Hide","Show")</f>
        <v>Show</v>
      </c>
      <c r="B8" s="7" t="s">
        <v>659</v>
      </c>
      <c r="C8" s="615"/>
      <c r="D8" s="714"/>
      <c r="E8" s="612"/>
      <c r="F8" s="145">
        <f>F58</f>
        <v>5151</v>
      </c>
      <c r="G8" s="616"/>
      <c r="H8" s="737" t="s">
        <v>507</v>
      </c>
      <c r="I8" s="108"/>
      <c r="O8" s="109"/>
      <c r="P8" s="109"/>
      <c r="Q8" s="109"/>
      <c r="R8" s="110"/>
      <c r="S8" s="111"/>
      <c r="T8" s="108"/>
    </row>
    <row r="9" spans="1:20" s="63" customFormat="1" ht="20.25" customHeight="1" thickBot="1" x14ac:dyDescent="0.35">
      <c r="A9" s="61" t="str">
        <f>IF('Initial Screens'!$D$26="Yes","Show","Hide")</f>
        <v>Hide</v>
      </c>
      <c r="B9" s="7" t="s">
        <v>318</v>
      </c>
      <c r="C9" s="77"/>
      <c r="D9" s="77"/>
      <c r="E9" s="50"/>
      <c r="F9" s="135">
        <f>IF('Initial Screens'!$D$26="Yes",Network!F26,0)</f>
        <v>0</v>
      </c>
      <c r="G9" s="10"/>
      <c r="H9" s="571" t="s">
        <v>613</v>
      </c>
      <c r="I9" s="108"/>
      <c r="O9" s="109"/>
      <c r="P9" s="109"/>
      <c r="Q9" s="109"/>
      <c r="R9" s="110"/>
      <c r="S9" s="111"/>
      <c r="T9" s="108"/>
    </row>
    <row r="10" spans="1:20" s="63" customFormat="1" ht="20.25" customHeight="1" thickBot="1" x14ac:dyDescent="0.35">
      <c r="A10" s="61" t="str">
        <f>IF('Initial Screens'!$D$26="Yes","Show","Hide")</f>
        <v>Hide</v>
      </c>
      <c r="B10" s="7" t="s">
        <v>315</v>
      </c>
      <c r="C10" s="77"/>
      <c r="D10" s="77"/>
      <c r="E10" s="50"/>
      <c r="F10" s="139">
        <f>IF('Initial Screens'!$D$26="Yes",F59,0)</f>
        <v>0</v>
      </c>
      <c r="G10" s="558" t="s">
        <v>503</v>
      </c>
      <c r="H10" s="503" t="s">
        <v>507</v>
      </c>
      <c r="I10" s="108"/>
      <c r="O10" s="109"/>
      <c r="P10" s="109"/>
      <c r="Q10" s="109"/>
      <c r="R10" s="110"/>
      <c r="S10" s="111"/>
      <c r="T10" s="108"/>
    </row>
    <row r="11" spans="1:20" s="63" customFormat="1" ht="20.25" customHeight="1" thickBot="1" x14ac:dyDescent="0.35">
      <c r="A11" s="61" t="str">
        <f>IF('Initial Screens'!$D$27="Yes","Show","Hide")</f>
        <v>Hide</v>
      </c>
      <c r="B11" s="7" t="s">
        <v>317</v>
      </c>
      <c r="C11" s="77"/>
      <c r="D11" s="77"/>
      <c r="E11" s="50"/>
      <c r="F11" s="135">
        <f>IF('Initial Screens'!$D$27="Yes",Network!F48,0)</f>
        <v>0</v>
      </c>
      <c r="G11" s="10"/>
      <c r="H11" s="571" t="s">
        <v>614</v>
      </c>
      <c r="I11" s="108"/>
      <c r="O11" s="109"/>
      <c r="P11" s="109"/>
      <c r="Q11" s="109"/>
      <c r="R11" s="110"/>
      <c r="S11" s="111"/>
      <c r="T11" s="108"/>
    </row>
    <row r="12" spans="1:20" s="63" customFormat="1" ht="20.25" customHeight="1" thickBot="1" x14ac:dyDescent="0.35">
      <c r="A12" s="61" t="str">
        <f>IF('Initial Screens'!$D$27="Yes","Show","Hide")</f>
        <v>Hide</v>
      </c>
      <c r="B12" s="7" t="s">
        <v>316</v>
      </c>
      <c r="C12" s="77"/>
      <c r="D12" s="77"/>
      <c r="E12" s="50"/>
      <c r="F12" s="139">
        <f>IF('Initial Screens'!$D$27="Yes",F60,0)</f>
        <v>0</v>
      </c>
      <c r="G12" s="558" t="s">
        <v>503</v>
      </c>
      <c r="H12" s="503" t="s">
        <v>507</v>
      </c>
      <c r="I12" s="108"/>
      <c r="O12" s="109"/>
      <c r="P12" s="109"/>
      <c r="Q12" s="109"/>
      <c r="R12" s="110"/>
      <c r="S12" s="111"/>
      <c r="T12" s="108"/>
    </row>
    <row r="13" spans="1:20" s="90" customFormat="1" ht="20.25" customHeight="1" thickBot="1" x14ac:dyDescent="0.35">
      <c r="A13" s="333"/>
      <c r="B13" s="91" t="str">
        <f>FIXED(AnalysisTerm,0)&amp;"-Year Current State Cost"</f>
        <v>10-Year Current State Cost</v>
      </c>
      <c r="C13" s="92"/>
      <c r="D13" s="92"/>
      <c r="E13" s="93"/>
      <c r="F13" s="147">
        <f>ROUND(F5*F6+F7*F8+F9*F10+F11*F12,0)*AnalysisTerm</f>
        <v>24128000</v>
      </c>
      <c r="G13" s="727"/>
      <c r="H13" s="499" t="s">
        <v>8</v>
      </c>
      <c r="I13" s="105"/>
    </row>
    <row r="14" spans="1:20" s="90" customFormat="1" ht="20.25" customHeight="1" thickBot="1" x14ac:dyDescent="0.35">
      <c r="A14" s="333"/>
      <c r="B14" s="74" t="s">
        <v>13</v>
      </c>
      <c r="C14" s="152"/>
      <c r="D14" s="94"/>
      <c r="E14" s="94"/>
      <c r="F14" s="127"/>
      <c r="G14" s="728"/>
      <c r="H14" s="94"/>
      <c r="I14" s="105"/>
    </row>
    <row r="15" spans="1:20" ht="20.25" customHeight="1" thickBot="1" x14ac:dyDescent="0.35">
      <c r="B15" s="7" t="s">
        <v>226</v>
      </c>
      <c r="C15" s="50"/>
      <c r="D15" s="50"/>
      <c r="E15" s="8"/>
      <c r="F15" s="140">
        <f>Compute!F17+Compute!F81+Compute!F82</f>
        <v>143</v>
      </c>
      <c r="G15" s="727"/>
      <c r="H15" s="503" t="s">
        <v>227</v>
      </c>
      <c r="I15" s="56"/>
    </row>
    <row r="16" spans="1:20" ht="20.25" customHeight="1" thickBot="1" x14ac:dyDescent="0.35">
      <c r="B16" s="7" t="s">
        <v>225</v>
      </c>
      <c r="C16" s="50"/>
      <c r="D16" s="50"/>
      <c r="E16" s="8"/>
      <c r="F16" s="78">
        <f>ROUND($F$6*IF(AND(Compute!F41&gt;Compute!D41,Compute!F42&gt;Compute!D42),0.9,1),0)</f>
        <v>5429</v>
      </c>
      <c r="H16" s="365" t="s">
        <v>52</v>
      </c>
      <c r="I16" s="108"/>
      <c r="J16" s="56"/>
    </row>
    <row r="17" spans="1:11" ht="20.25" customHeight="1" thickBot="1" x14ac:dyDescent="0.35">
      <c r="A17" s="61" t="str">
        <f>IF('Initial Screens'!$D$26="Yes","Show","Hide")</f>
        <v>Hide</v>
      </c>
      <c r="B17" s="7" t="s">
        <v>318</v>
      </c>
      <c r="C17" s="50"/>
      <c r="D17" s="50"/>
      <c r="E17" s="67"/>
      <c r="F17" s="135">
        <f>IF('Initial Screens'!$D$26="Yes",Network!F32,0)</f>
        <v>0</v>
      </c>
      <c r="H17" s="503" t="s">
        <v>319</v>
      </c>
      <c r="I17" s="108"/>
      <c r="J17" s="56"/>
    </row>
    <row r="18" spans="1:11" ht="20.25" customHeight="1" thickBot="1" x14ac:dyDescent="0.35">
      <c r="A18" s="61" t="str">
        <f>IF('Initial Screens'!$D$26="Yes","Show","Hide")</f>
        <v>Hide</v>
      </c>
      <c r="B18" s="7" t="s">
        <v>315</v>
      </c>
      <c r="C18" s="50"/>
      <c r="D18" s="50"/>
      <c r="E18" s="67"/>
      <c r="F18" s="78">
        <f>F10</f>
        <v>0</v>
      </c>
      <c r="H18" s="365" t="s">
        <v>52</v>
      </c>
      <c r="I18" s="108"/>
      <c r="J18" s="56"/>
    </row>
    <row r="19" spans="1:11" ht="20.25" customHeight="1" thickBot="1" x14ac:dyDescent="0.35">
      <c r="A19" s="61" t="str">
        <f>IF('Initial Screens'!$D$27="Yes","Show","Hide")</f>
        <v>Hide</v>
      </c>
      <c r="B19" s="7" t="s">
        <v>317</v>
      </c>
      <c r="C19" s="50"/>
      <c r="D19" s="50"/>
      <c r="E19" s="67"/>
      <c r="F19" s="135">
        <f>IF('Initial Screens'!$D$27="Yes",Network!F54,0)</f>
        <v>0</v>
      </c>
      <c r="H19" s="503" t="s">
        <v>319</v>
      </c>
      <c r="I19" s="108"/>
      <c r="J19" s="56"/>
    </row>
    <row r="20" spans="1:11" ht="20.25" customHeight="1" thickBot="1" x14ac:dyDescent="0.35">
      <c r="A20" s="61" t="str">
        <f>IF('Initial Screens'!$D$27="Yes","Show","Hide")</f>
        <v>Hide</v>
      </c>
      <c r="B20" s="7" t="s">
        <v>316</v>
      </c>
      <c r="C20" s="50"/>
      <c r="D20" s="50"/>
      <c r="E20" s="67"/>
      <c r="F20" s="78">
        <f>F12</f>
        <v>0</v>
      </c>
      <c r="H20" s="365" t="s">
        <v>52</v>
      </c>
      <c r="I20" s="108"/>
      <c r="J20" s="56"/>
    </row>
    <row r="21" spans="1:11" s="90" customFormat="1" ht="20.25" customHeight="1" thickBot="1" x14ac:dyDescent="0.35">
      <c r="A21" s="333"/>
      <c r="B21" s="91" t="str">
        <f>FIXED(AnalysisTerm,0)&amp;"-Year Future State Cost"</f>
        <v>10-Year Future State Cost</v>
      </c>
      <c r="C21" s="92"/>
      <c r="D21" s="92"/>
      <c r="E21" s="93"/>
      <c r="F21" s="102">
        <f>ROUND(F15*F16+F17*F18+F19*F20,0)*AnalysisTerm</f>
        <v>7763470</v>
      </c>
      <c r="G21" s="181"/>
      <c r="H21" s="499" t="s">
        <v>8</v>
      </c>
      <c r="I21" s="105"/>
      <c r="J21" s="2"/>
    </row>
    <row r="22" spans="1:11" ht="20.25" customHeight="1" x14ac:dyDescent="0.3">
      <c r="B22" s="63"/>
      <c r="C22" s="57"/>
      <c r="D22" s="134"/>
      <c r="E22" s="134"/>
      <c r="F22" s="134"/>
      <c r="G22" s="559"/>
      <c r="H22" s="2"/>
      <c r="I22" s="56"/>
    </row>
    <row r="23" spans="1:11" customFormat="1" ht="15.6" x14ac:dyDescent="0.3">
      <c r="A23" s="333"/>
      <c r="B23" s="896" t="s">
        <v>615</v>
      </c>
      <c r="C23" s="897"/>
      <c r="D23" s="897"/>
      <c r="E23" s="897"/>
      <c r="F23" s="898"/>
      <c r="G23" s="52"/>
      <c r="K23" s="2"/>
    </row>
    <row r="24" spans="1:11" customFormat="1" ht="15.6" x14ac:dyDescent="0.3">
      <c r="A24" s="333"/>
      <c r="B24" s="47" t="s">
        <v>96</v>
      </c>
      <c r="G24" s="52"/>
      <c r="H24" s="11" t="s">
        <v>2</v>
      </c>
      <c r="K24" s="2"/>
    </row>
    <row r="25" spans="1:11" customFormat="1" x14ac:dyDescent="0.3">
      <c r="A25" s="333"/>
      <c r="B25" s="260" t="s">
        <v>97</v>
      </c>
      <c r="C25" s="261"/>
      <c r="D25" s="101"/>
      <c r="E25" s="76"/>
      <c r="F25" s="126">
        <f>ROUND(365*24,0)</f>
        <v>8760</v>
      </c>
      <c r="G25" s="52"/>
      <c r="H25" s="60" t="s">
        <v>98</v>
      </c>
      <c r="K25" s="2"/>
    </row>
    <row r="26" spans="1:11" customFormat="1" x14ac:dyDescent="0.3">
      <c r="A26" s="333"/>
      <c r="B26" s="260" t="s">
        <v>99</v>
      </c>
      <c r="C26" s="261"/>
      <c r="D26" s="101"/>
      <c r="E26" s="76"/>
      <c r="F26" s="60">
        <f>ROUND(0.65,2)</f>
        <v>0.65</v>
      </c>
      <c r="G26" s="52"/>
      <c r="H26" s="60" t="s">
        <v>6</v>
      </c>
      <c r="K26" s="2"/>
    </row>
    <row r="27" spans="1:11" customFormat="1" ht="15.6" x14ac:dyDescent="0.3">
      <c r="A27" s="302" t="str">
        <f>IF(Compute!$D$68="No","Hide","Show")</f>
        <v>Show</v>
      </c>
      <c r="B27" s="260" t="s">
        <v>660</v>
      </c>
      <c r="C27" s="617"/>
      <c r="D27" s="729"/>
      <c r="E27" s="618"/>
      <c r="F27" s="730">
        <f>ROUND(0.3,2)</f>
        <v>0.3</v>
      </c>
      <c r="G27" s="61"/>
      <c r="H27" s="384" t="s">
        <v>6</v>
      </c>
      <c r="K27" s="2"/>
    </row>
    <row r="28" spans="1:11" customFormat="1" x14ac:dyDescent="0.3">
      <c r="A28" s="61" t="str">
        <f>IF('Initial Screens'!$D$26="Yes","Show","Hide")</f>
        <v>Hide</v>
      </c>
      <c r="B28" s="260" t="s">
        <v>310</v>
      </c>
      <c r="C28" s="261"/>
      <c r="D28" s="101"/>
      <c r="E28" s="76"/>
      <c r="F28" s="730">
        <f>ROUND(0.3,2)</f>
        <v>0.3</v>
      </c>
      <c r="G28" s="52"/>
      <c r="H28" s="384" t="s">
        <v>6</v>
      </c>
      <c r="K28" s="2"/>
    </row>
    <row r="29" spans="1:11" customFormat="1" x14ac:dyDescent="0.3">
      <c r="A29" s="61" t="str">
        <f>IF('Initial Screens'!$D$27="Yes","Show","Hide")</f>
        <v>Hide</v>
      </c>
      <c r="B29" s="260" t="s">
        <v>309</v>
      </c>
      <c r="C29" s="261"/>
      <c r="D29" s="101"/>
      <c r="E29" s="76"/>
      <c r="F29" s="730">
        <f>ROUND(0.3,2)</f>
        <v>0.3</v>
      </c>
      <c r="G29" s="52"/>
      <c r="H29" s="384" t="s">
        <v>6</v>
      </c>
      <c r="K29" s="2"/>
    </row>
    <row r="30" spans="1:11" customFormat="1" x14ac:dyDescent="0.3">
      <c r="A30" s="333"/>
      <c r="B30" s="260" t="s">
        <v>100</v>
      </c>
      <c r="C30" s="261"/>
      <c r="D30" s="101"/>
      <c r="E30" s="76"/>
      <c r="F30" s="121">
        <f>ROUND(30%,2)</f>
        <v>0.3</v>
      </c>
      <c r="G30" s="52"/>
      <c r="H30" s="384" t="s">
        <v>6</v>
      </c>
      <c r="K30" s="2"/>
    </row>
    <row r="31" spans="1:11" customFormat="1" x14ac:dyDescent="0.3">
      <c r="A31" s="333"/>
      <c r="B31" s="260" t="s">
        <v>101</v>
      </c>
      <c r="C31" s="261"/>
      <c r="D31" s="101"/>
      <c r="E31" s="76"/>
      <c r="F31" s="384">
        <f>ROUND(1.7,1)</f>
        <v>1.7</v>
      </c>
      <c r="G31" s="52"/>
      <c r="H31" s="384" t="s">
        <v>6</v>
      </c>
      <c r="K31" s="2"/>
    </row>
    <row r="32" spans="1:11" customFormat="1" ht="15.6" x14ac:dyDescent="0.3">
      <c r="A32" s="333"/>
      <c r="B32" s="260" t="s">
        <v>102</v>
      </c>
      <c r="C32" s="261"/>
      <c r="D32" s="101"/>
      <c r="E32" s="76"/>
      <c r="F32" s="731">
        <f>ROUND($F$25*F26*(1+$F$30)*$F$31,0)</f>
        <v>12584</v>
      </c>
      <c r="G32" s="52"/>
      <c r="H32" s="499" t="s">
        <v>8</v>
      </c>
      <c r="K32" s="2"/>
    </row>
    <row r="33" spans="1:11" customFormat="1" ht="15.6" x14ac:dyDescent="0.3">
      <c r="A33" s="302" t="str">
        <f>IF(Compute!$D$68="No","Hide","Show")</f>
        <v>Show</v>
      </c>
      <c r="B33" s="260" t="s">
        <v>661</v>
      </c>
      <c r="C33" s="617"/>
      <c r="D33" s="729"/>
      <c r="E33" s="618"/>
      <c r="F33" s="731">
        <f>ROUND($F$25*F27*(1+$F$30)*$F$31,0)</f>
        <v>5808</v>
      </c>
      <c r="G33" s="61"/>
      <c r="H33" s="499" t="s">
        <v>8</v>
      </c>
      <c r="K33" s="2"/>
    </row>
    <row r="34" spans="1:11" customFormat="1" ht="15.6" x14ac:dyDescent="0.3">
      <c r="A34" s="61" t="str">
        <f>IF('Initial Screens'!$D$26="Yes","Show","Hide")</f>
        <v>Hide</v>
      </c>
      <c r="B34" s="260" t="s">
        <v>312</v>
      </c>
      <c r="C34" s="261"/>
      <c r="D34" s="101"/>
      <c r="E34" s="76"/>
      <c r="F34" s="731">
        <f>ROUND($F$25*F28*(1+$F$30)*$F$31,0)</f>
        <v>5808</v>
      </c>
      <c r="G34" s="52"/>
      <c r="H34" s="499" t="s">
        <v>8</v>
      </c>
      <c r="K34" s="2"/>
    </row>
    <row r="35" spans="1:11" customFormat="1" ht="15.6" x14ac:dyDescent="0.3">
      <c r="A35" s="61" t="str">
        <f>IF('Initial Screens'!$D$27="Yes","Show","Hide")</f>
        <v>Hide</v>
      </c>
      <c r="B35" s="260" t="s">
        <v>311</v>
      </c>
      <c r="C35" s="261"/>
      <c r="D35" s="101"/>
      <c r="E35" s="76"/>
      <c r="F35" s="731">
        <f>ROUND($F$25*F29*(1+$F$30)*$F$31,0)</f>
        <v>5808</v>
      </c>
      <c r="G35" s="52"/>
      <c r="H35" s="499" t="s">
        <v>8</v>
      </c>
      <c r="K35" s="2"/>
    </row>
    <row r="36" spans="1:11" customFormat="1" x14ac:dyDescent="0.3">
      <c r="A36" s="333"/>
      <c r="B36" s="260" t="s">
        <v>103</v>
      </c>
      <c r="C36" s="261"/>
      <c r="D36" s="101"/>
      <c r="E36" s="76"/>
      <c r="F36" s="732">
        <v>0.13</v>
      </c>
      <c r="G36" s="52"/>
      <c r="H36" s="735" t="s">
        <v>104</v>
      </c>
      <c r="K36" s="2"/>
    </row>
    <row r="37" spans="1:11" customFormat="1" x14ac:dyDescent="0.3">
      <c r="A37" s="333"/>
      <c r="B37" s="125" t="s">
        <v>105</v>
      </c>
      <c r="C37" s="2"/>
      <c r="E37" s="2"/>
      <c r="F37" s="733"/>
      <c r="G37" s="52"/>
      <c r="H37" s="686"/>
      <c r="K37" s="2"/>
    </row>
    <row r="38" spans="1:11" customFormat="1" ht="15.6" x14ac:dyDescent="0.3">
      <c r="A38" s="333"/>
      <c r="B38" s="260" t="s">
        <v>314</v>
      </c>
      <c r="C38" s="261"/>
      <c r="D38" s="101"/>
      <c r="E38" s="76"/>
      <c r="F38" s="700">
        <f>ROUND(F32*$F$36,0)</f>
        <v>1636</v>
      </c>
      <c r="G38" s="52"/>
      <c r="H38" s="499" t="s">
        <v>8</v>
      </c>
      <c r="K38" s="2"/>
    </row>
    <row r="39" spans="1:11" customFormat="1" ht="15.6" x14ac:dyDescent="0.3">
      <c r="A39" s="302" t="str">
        <f>IF(Compute!$D$68="No","Hide","Show")</f>
        <v>Show</v>
      </c>
      <c r="B39" s="260" t="s">
        <v>663</v>
      </c>
      <c r="C39" s="617"/>
      <c r="D39" s="729"/>
      <c r="E39" s="618"/>
      <c r="F39" s="700">
        <f>ROUND(F33*$F$36,0)</f>
        <v>755</v>
      </c>
      <c r="G39" s="61"/>
      <c r="H39" s="499" t="s">
        <v>8</v>
      </c>
      <c r="K39" s="2"/>
    </row>
    <row r="40" spans="1:11" customFormat="1" ht="15.6" x14ac:dyDescent="0.3">
      <c r="A40" s="61" t="str">
        <f>IF('Initial Screens'!$D$26="Yes","Show","Hide")</f>
        <v>Hide</v>
      </c>
      <c r="B40" s="260" t="s">
        <v>313</v>
      </c>
      <c r="C40" s="261"/>
      <c r="D40" s="101"/>
      <c r="E40" s="76"/>
      <c r="F40" s="700">
        <f>ROUND(F34*$F$36,0)</f>
        <v>755</v>
      </c>
      <c r="G40" s="52"/>
      <c r="H40" s="499" t="s">
        <v>8</v>
      </c>
      <c r="K40" s="2"/>
    </row>
    <row r="41" spans="1:11" customFormat="1" ht="15.6" x14ac:dyDescent="0.3">
      <c r="A41" s="61" t="str">
        <f>IF('Initial Screens'!$D$27="Yes","Show","Hide")</f>
        <v>Hide</v>
      </c>
      <c r="B41" s="260" t="s">
        <v>299</v>
      </c>
      <c r="C41" s="261"/>
      <c r="D41" s="101"/>
      <c r="E41" s="76"/>
      <c r="F41" s="700">
        <f>ROUND(F35*$F$36,0)</f>
        <v>755</v>
      </c>
      <c r="G41" s="52"/>
      <c r="H41" s="499" t="s">
        <v>8</v>
      </c>
      <c r="K41" s="2"/>
    </row>
    <row r="42" spans="1:11" customFormat="1" x14ac:dyDescent="0.3">
      <c r="A42" s="333"/>
      <c r="B42" s="47" t="s">
        <v>106</v>
      </c>
      <c r="C42" s="2"/>
      <c r="E42" s="2"/>
      <c r="F42" s="106"/>
      <c r="G42" s="52"/>
      <c r="H42" s="686"/>
      <c r="K42" s="2"/>
    </row>
    <row r="43" spans="1:11" customFormat="1" x14ac:dyDescent="0.3">
      <c r="A43" s="333"/>
      <c r="B43" s="260" t="s">
        <v>107</v>
      </c>
      <c r="C43" s="261"/>
      <c r="D43" s="101"/>
      <c r="E43" s="76"/>
      <c r="F43" s="384" t="s">
        <v>108</v>
      </c>
      <c r="G43" s="52"/>
      <c r="H43" s="384" t="s">
        <v>109</v>
      </c>
      <c r="I43" s="2"/>
      <c r="J43" s="2"/>
      <c r="K43" s="2"/>
    </row>
    <row r="44" spans="1:11" customFormat="1" x14ac:dyDescent="0.3">
      <c r="A44" s="333"/>
      <c r="B44" s="260" t="str">
        <f>"Space required per rack ("&amp;F43&amp;" )"</f>
        <v>Space required per rack (Sq. Feet )</v>
      </c>
      <c r="C44" s="261"/>
      <c r="D44" s="101"/>
      <c r="E44" s="76"/>
      <c r="F44" s="384">
        <f>ROUNDUP(IF(F43=Misc!B112,0.092903,1)*25,2)</f>
        <v>25</v>
      </c>
      <c r="G44" s="52"/>
      <c r="H44" s="384" t="s">
        <v>111</v>
      </c>
      <c r="I44" s="2"/>
      <c r="J44" s="2"/>
      <c r="K44" s="2"/>
    </row>
    <row r="45" spans="1:11" customFormat="1" x14ac:dyDescent="0.3">
      <c r="A45" s="333"/>
      <c r="B45" s="260" t="s">
        <v>112</v>
      </c>
      <c r="C45" s="261"/>
      <c r="D45" s="101"/>
      <c r="E45" s="76"/>
      <c r="F45" s="384">
        <f>ROUND(42,0)</f>
        <v>42</v>
      </c>
      <c r="G45" s="52"/>
      <c r="H45" s="384" t="s">
        <v>111</v>
      </c>
      <c r="I45" s="2"/>
      <c r="J45" s="2"/>
      <c r="K45" s="2"/>
    </row>
    <row r="46" spans="1:11" s="1" customFormat="1" x14ac:dyDescent="0.3">
      <c r="A46" s="333"/>
      <c r="B46" s="260" t="s">
        <v>114</v>
      </c>
      <c r="C46" s="261"/>
      <c r="D46" s="101"/>
      <c r="E46" s="76"/>
      <c r="F46" s="128">
        <f>ROUND(65%,2)</f>
        <v>0.65</v>
      </c>
      <c r="G46" s="61"/>
      <c r="H46" s="384" t="s">
        <v>111</v>
      </c>
      <c r="K46" s="2"/>
    </row>
    <row r="47" spans="1:11" customFormat="1" x14ac:dyDescent="0.3">
      <c r="A47" s="333"/>
      <c r="B47" s="260" t="s">
        <v>115</v>
      </c>
      <c r="C47" s="261"/>
      <c r="D47" s="101"/>
      <c r="E47" s="76"/>
      <c r="F47" s="384">
        <f>ROUND(2,0)</f>
        <v>2</v>
      </c>
      <c r="G47" s="52"/>
      <c r="H47" s="384" t="s">
        <v>111</v>
      </c>
      <c r="K47" s="2"/>
    </row>
    <row r="48" spans="1:11" customFormat="1" ht="15.6" x14ac:dyDescent="0.3">
      <c r="A48" s="302" t="str">
        <f>IF(Compute!$D$68="No","Hide","Show")</f>
        <v>Show</v>
      </c>
      <c r="B48" s="260" t="s">
        <v>664</v>
      </c>
      <c r="C48" s="617"/>
      <c r="D48" s="729"/>
      <c r="E48" s="618"/>
      <c r="F48" s="384">
        <f t="shared" ref="F48:F49" si="0">ROUND(2,0)</f>
        <v>2</v>
      </c>
      <c r="G48" s="61"/>
      <c r="H48" s="384" t="s">
        <v>111</v>
      </c>
      <c r="K48" s="2"/>
    </row>
    <row r="49" spans="1:11" customFormat="1" ht="15.6" x14ac:dyDescent="0.3">
      <c r="A49" s="61" t="str">
        <f>IF(OR('Initial Screens'!$D$26="Yes",'Initial Screens'!$D$27="Yes"),"Show","Hide")</f>
        <v>Hide</v>
      </c>
      <c r="B49" s="260" t="s">
        <v>665</v>
      </c>
      <c r="C49" s="617"/>
      <c r="D49" s="714"/>
      <c r="E49" s="618"/>
      <c r="F49" s="384">
        <f t="shared" si="0"/>
        <v>2</v>
      </c>
      <c r="G49" s="61"/>
      <c r="H49" s="384" t="s">
        <v>111</v>
      </c>
      <c r="K49" s="2"/>
    </row>
    <row r="50" spans="1:11" customFormat="1" x14ac:dyDescent="0.3">
      <c r="A50" s="333"/>
      <c r="B50" s="260" t="str">
        <f>"Annual Rack and Floor Space rental (per "&amp;F43&amp;")"</f>
        <v>Annual Rack and Floor Space rental (per Sq. Feet)</v>
      </c>
      <c r="C50" s="261"/>
      <c r="D50" s="261"/>
      <c r="E50" s="76"/>
      <c r="F50" s="410">
        <f>ROUND(((2400/IF(F43=Misc!B112,0.092903,1))),0)</f>
        <v>2400</v>
      </c>
      <c r="G50" s="52"/>
      <c r="H50" s="384" t="s">
        <v>6</v>
      </c>
      <c r="K50" s="2"/>
    </row>
    <row r="51" spans="1:11" customFormat="1" x14ac:dyDescent="0.3">
      <c r="A51" s="333"/>
      <c r="B51" s="47" t="s">
        <v>116</v>
      </c>
      <c r="C51" s="261"/>
      <c r="D51" s="2"/>
      <c r="E51" s="2"/>
      <c r="F51" s="106"/>
      <c r="G51" s="52"/>
      <c r="H51" s="686"/>
      <c r="K51" s="2"/>
    </row>
    <row r="52" spans="1:11" customFormat="1" ht="15.6" x14ac:dyDescent="0.3">
      <c r="A52" s="333"/>
      <c r="B52" s="260" t="s">
        <v>314</v>
      </c>
      <c r="C52" s="261"/>
      <c r="D52" s="261"/>
      <c r="E52" s="76"/>
      <c r="F52" s="700">
        <f>ROUND($F$47/($F$45*$F$46)*$F$44*$F$50,0)</f>
        <v>4396</v>
      </c>
      <c r="G52" s="52"/>
      <c r="H52" s="499" t="s">
        <v>8</v>
      </c>
      <c r="K52" s="2"/>
    </row>
    <row r="53" spans="1:11" customFormat="1" ht="15.6" x14ac:dyDescent="0.3">
      <c r="A53" s="302" t="str">
        <f>IF(Compute!$D$68="No","Hide","Show")</f>
        <v>Show</v>
      </c>
      <c r="B53" s="260" t="s">
        <v>663</v>
      </c>
      <c r="C53" s="617"/>
      <c r="D53" s="729"/>
      <c r="E53" s="618"/>
      <c r="F53" s="700">
        <f>ROUND($F$48/($F$45*$F$46)*$F$44*$F$50,0)</f>
        <v>4396</v>
      </c>
      <c r="G53" s="61"/>
      <c r="H53" s="499" t="s">
        <v>8</v>
      </c>
      <c r="K53" s="2"/>
    </row>
    <row r="54" spans="1:11" customFormat="1" ht="15.6" x14ac:dyDescent="0.3">
      <c r="A54" s="61" t="str">
        <f>IF('Initial Screens'!$D$26="Yes","Show","Hide")</f>
        <v>Hide</v>
      </c>
      <c r="B54" s="260" t="s">
        <v>313</v>
      </c>
      <c r="C54" s="261"/>
      <c r="D54" s="729"/>
      <c r="E54" s="618"/>
      <c r="F54" s="700">
        <f>ROUND($F$49/($F$45*$F$46)*$F$44*$F$50,0)</f>
        <v>4396</v>
      </c>
      <c r="G54" s="52"/>
      <c r="H54" s="499" t="s">
        <v>8</v>
      </c>
      <c r="K54" s="2"/>
    </row>
    <row r="55" spans="1:11" customFormat="1" ht="15.6" x14ac:dyDescent="0.3">
      <c r="A55" s="61" t="str">
        <f>IF('Initial Screens'!$D$27="Yes","Show","Hide")</f>
        <v>Hide</v>
      </c>
      <c r="B55" s="260" t="s">
        <v>299</v>
      </c>
      <c r="C55" s="261"/>
      <c r="D55" s="729"/>
      <c r="E55" s="618"/>
      <c r="F55" s="700">
        <f>ROUND($F$49/($F$45*$F$46)*$F$44*$F$50,0)</f>
        <v>4396</v>
      </c>
      <c r="G55" s="52"/>
      <c r="H55" s="499" t="s">
        <v>8</v>
      </c>
      <c r="K55" s="2"/>
    </row>
    <row r="56" spans="1:11" customFormat="1" ht="15" thickBot="1" x14ac:dyDescent="0.35">
      <c r="A56" s="333"/>
      <c r="B56" s="47" t="s">
        <v>117</v>
      </c>
      <c r="C56" s="2"/>
      <c r="D56" s="2"/>
      <c r="E56" s="2"/>
      <c r="F56" s="106"/>
      <c r="G56" s="52"/>
      <c r="H56" s="686"/>
      <c r="K56" s="2"/>
    </row>
    <row r="57" spans="1:11" customFormat="1" ht="16.2" thickBot="1" x14ac:dyDescent="0.35">
      <c r="A57" s="333"/>
      <c r="B57" s="753" t="s">
        <v>314</v>
      </c>
      <c r="C57" s="324"/>
      <c r="D57" s="324"/>
      <c r="E57" s="325"/>
      <c r="F57" s="734">
        <f>ROUNDUP(SUM(F38,F52),0)</f>
        <v>6032</v>
      </c>
      <c r="G57" s="52"/>
      <c r="H57" s="499" t="s">
        <v>8</v>
      </c>
      <c r="K57" s="2"/>
    </row>
    <row r="58" spans="1:11" customFormat="1" ht="16.2" thickBot="1" x14ac:dyDescent="0.35">
      <c r="A58" s="302" t="str">
        <f>IF(Compute!$D$68="No","Hide","Show")</f>
        <v>Show</v>
      </c>
      <c r="B58" s="754" t="s">
        <v>663</v>
      </c>
      <c r="C58" s="617"/>
      <c r="D58" s="729"/>
      <c r="E58" s="619"/>
      <c r="F58" s="734">
        <f>ROUNDUP(SUM(F39,F53),0)</f>
        <v>5151</v>
      </c>
      <c r="G58" s="52"/>
      <c r="H58" s="499" t="s">
        <v>8</v>
      </c>
      <c r="K58" s="2"/>
    </row>
    <row r="59" spans="1:11" customFormat="1" ht="16.2" thickBot="1" x14ac:dyDescent="0.35">
      <c r="A59" s="61" t="str">
        <f>IF('Initial Screens'!$D$26="Yes","Show","Hide")</f>
        <v>Hide</v>
      </c>
      <c r="B59" s="754" t="s">
        <v>313</v>
      </c>
      <c r="C59" s="261"/>
      <c r="D59" s="101"/>
      <c r="E59" s="326"/>
      <c r="F59" s="734">
        <f>ROUNDUP(SUM(F40,F54),0)</f>
        <v>5151</v>
      </c>
      <c r="G59" s="52"/>
      <c r="H59" s="499" t="s">
        <v>8</v>
      </c>
      <c r="K59" s="2"/>
    </row>
    <row r="60" spans="1:11" ht="16.2" thickBot="1" x14ac:dyDescent="0.35">
      <c r="A60" s="61" t="str">
        <f>IF('Initial Screens'!$D$27="Yes","Show","Hide")</f>
        <v>Hide</v>
      </c>
      <c r="B60" s="755" t="s">
        <v>299</v>
      </c>
      <c r="C60" s="327"/>
      <c r="D60" s="328"/>
      <c r="E60" s="329"/>
      <c r="F60" s="734">
        <f>ROUNDUP(SUM(F41,F55),0)</f>
        <v>5151</v>
      </c>
      <c r="H60" s="499" t="s">
        <v>8</v>
      </c>
    </row>
    <row r="61" spans="1:11" x14ac:dyDescent="0.3">
      <c r="B61" s="154"/>
      <c r="C61" s="154"/>
      <c r="D61" s="154"/>
    </row>
    <row r="62" spans="1:11" x14ac:dyDescent="0.3">
      <c r="B62" s="154"/>
      <c r="C62" s="154"/>
      <c r="D62" s="154"/>
    </row>
  </sheetData>
  <mergeCells count="3">
    <mergeCell ref="B23:F23"/>
    <mergeCell ref="P1:Q1"/>
    <mergeCell ref="B2:E2"/>
  </mergeCells>
  <hyperlinks>
    <hyperlink ref="H36" r:id="rId1" location="hl48" xr:uid="{AC15B923-463D-4ECF-B2E5-1FABF5B43777}"/>
    <hyperlink ref="G2" location="'Excel Output'!C49" display="Return button" xr:uid="{0A831021-E12F-4CB0-ACE8-DF22EDBCD45B}"/>
    <hyperlink ref="G6" location="Facilities!B23:H60" display="Worksheet" xr:uid="{8F85AF3F-F1EA-4727-ABEA-B58E63813901}"/>
    <hyperlink ref="G10" location="Facilities!B23:H60" display="Worksheet" xr:uid="{CEE58DE6-512B-4C90-89FF-E6451881E966}"/>
    <hyperlink ref="G12" location="Facilities!B23:H60" display="Worksheet" xr:uid="{05DC58B7-B377-46D0-A677-02E794BDE9B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C404475-E88D-4318-B5D1-AC02CC0967B0}">
          <x14:formula1>
            <xm:f>Misc!$B$112:$B$113</xm:f>
          </x14:formula1>
          <xm:sqref>F43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C027-4D8B-40BD-A5FD-E4211DD6733F}">
  <sheetPr codeName="Sheet9">
    <tabColor theme="9" tint="0.59999389629810485"/>
  </sheetPr>
  <dimension ref="A1:V1239"/>
  <sheetViews>
    <sheetView showGridLines="0" topLeftCell="A64" zoomScale="70" zoomScaleNormal="70" workbookViewId="0">
      <selection activeCell="A26" sqref="A26"/>
    </sheetView>
  </sheetViews>
  <sheetFormatPr defaultColWidth="16.44140625" defaultRowHeight="14.4" x14ac:dyDescent="0.3"/>
  <cols>
    <col min="1" max="1" width="9.44140625" style="2" customWidth="1"/>
    <col min="2" max="2" width="42.21875" style="2" customWidth="1"/>
    <col min="3" max="5" width="18.77734375" style="2" customWidth="1"/>
    <col min="6" max="6" width="18.77734375" style="16" customWidth="1"/>
    <col min="7" max="7" width="16.77734375" style="13" customWidth="1"/>
    <col min="8" max="8" width="157.77734375" style="17" customWidth="1"/>
    <col min="9" max="9" width="15.44140625" style="2" customWidth="1"/>
    <col min="10" max="10" width="3.77734375" style="2" customWidth="1"/>
    <col min="11" max="11" width="42.21875" style="2" customWidth="1"/>
    <col min="12" max="12" width="17.109375" style="2" customWidth="1"/>
    <col min="13" max="13" width="20.44140625" style="2" customWidth="1"/>
    <col min="14" max="14" width="18.77734375" style="2" customWidth="1"/>
    <col min="15" max="17" width="18.77734375" style="16" customWidth="1"/>
    <col min="18" max="18" width="15.6640625" style="13" customWidth="1"/>
    <col min="19" max="19" width="15.6640625" style="17" customWidth="1"/>
    <col min="20" max="21" width="16.44140625" style="2"/>
    <col min="22" max="22" width="16.44140625" style="2" hidden="1" customWidth="1"/>
    <col min="23" max="16384" width="16.44140625" style="2"/>
  </cols>
  <sheetData>
    <row r="1" spans="1:20" ht="20.25" customHeight="1" thickBot="1" x14ac:dyDescent="0.35">
      <c r="B1" s="4"/>
      <c r="C1" s="4"/>
      <c r="F1" s="1"/>
      <c r="G1" s="849"/>
      <c r="H1" s="119"/>
      <c r="J1" s="4"/>
      <c r="K1" s="850">
        <f>(F60*F107*F108)/2080</f>
        <v>0</v>
      </c>
      <c r="L1" s="4"/>
      <c r="P1" s="61"/>
      <c r="Q1" s="61"/>
      <c r="R1"/>
      <c r="T1" s="56"/>
    </row>
    <row r="2" spans="1:20" ht="20.100000000000001" customHeight="1" thickBot="1" x14ac:dyDescent="0.45">
      <c r="B2" s="348" t="s">
        <v>30</v>
      </c>
      <c r="C2" s="349"/>
      <c r="D2" s="349"/>
      <c r="E2" s="349"/>
      <c r="F2" s="350"/>
      <c r="G2" s="466" t="s">
        <v>473</v>
      </c>
      <c r="H2" s="71"/>
      <c r="I2" s="18"/>
      <c r="J2" s="18"/>
      <c r="K2" s="18"/>
      <c r="L2" s="18"/>
      <c r="M2" s="18"/>
      <c r="N2" s="18"/>
      <c r="O2" s="18"/>
      <c r="P2" s="18"/>
      <c r="Q2" s="18"/>
      <c r="R2" s="18"/>
      <c r="S2" s="9"/>
    </row>
    <row r="3" spans="1:20" ht="20.100000000000001" customHeight="1" thickBot="1" x14ac:dyDescent="0.45">
      <c r="B3" s="842"/>
      <c r="C3" s="842"/>
      <c r="D3" s="842"/>
      <c r="E3" s="842"/>
      <c r="F3" s="842"/>
      <c r="G3" s="843"/>
      <c r="H3" s="71"/>
      <c r="I3" s="18"/>
      <c r="J3" s="18"/>
      <c r="K3" s="18"/>
      <c r="L3" s="18"/>
      <c r="M3" s="18"/>
      <c r="N3" s="18"/>
      <c r="O3" s="18"/>
      <c r="P3" s="18"/>
      <c r="Q3" s="18"/>
      <c r="R3" s="18"/>
      <c r="S3" s="9"/>
    </row>
    <row r="4" spans="1:20" ht="20.100000000000001" customHeight="1" thickBot="1" x14ac:dyDescent="0.4">
      <c r="A4" s="807"/>
      <c r="B4" s="387" t="s">
        <v>818</v>
      </c>
      <c r="C4" s="388"/>
      <c r="D4" s="388"/>
      <c r="E4" s="388"/>
      <c r="F4" s="844">
        <f>ROUND(Misc!C156,1)</f>
        <v>25.2</v>
      </c>
      <c r="G4" s="843"/>
      <c r="H4" s="503" t="s">
        <v>821</v>
      </c>
      <c r="I4" s="18"/>
      <c r="J4" s="18"/>
      <c r="K4" s="18"/>
      <c r="L4" s="18"/>
      <c r="M4" s="18"/>
      <c r="N4" s="18"/>
      <c r="O4" s="18"/>
      <c r="P4" s="18"/>
      <c r="Q4" s="18"/>
      <c r="R4" s="18"/>
      <c r="S4" s="9"/>
    </row>
    <row r="5" spans="1:20" ht="20.100000000000001" customHeight="1" thickBot="1" x14ac:dyDescent="0.4">
      <c r="A5" s="807"/>
      <c r="B5" s="7" t="s">
        <v>819</v>
      </c>
      <c r="C5" s="391"/>
      <c r="D5" s="16"/>
      <c r="F5" s="851">
        <f ca="1">(F4*2080)*(1-F6)</f>
        <v>27828.873783910891</v>
      </c>
      <c r="G5" s="843"/>
      <c r="H5" s="503" t="s">
        <v>821</v>
      </c>
      <c r="I5" s="18"/>
      <c r="J5" s="18"/>
      <c r="K5" s="18"/>
      <c r="L5" s="18"/>
      <c r="M5" s="18"/>
      <c r="N5" s="18"/>
      <c r="O5" s="18"/>
      <c r="P5" s="18"/>
      <c r="Q5" s="18"/>
      <c r="R5" s="18"/>
      <c r="S5" s="9"/>
    </row>
    <row r="6" spans="1:20" ht="20.100000000000001" customHeight="1" thickBot="1" x14ac:dyDescent="0.4">
      <c r="A6" s="807"/>
      <c r="B6" s="14" t="s">
        <v>820</v>
      </c>
      <c r="C6" s="392"/>
      <c r="D6" s="393"/>
      <c r="E6" s="394"/>
      <c r="F6" s="974">
        <f ca="1">(F127-F128)/F127</f>
        <v>0.46907673641806147</v>
      </c>
      <c r="G6" s="843"/>
      <c r="H6" s="503" t="s">
        <v>822</v>
      </c>
      <c r="I6" s="18"/>
      <c r="J6" s="18"/>
      <c r="K6" s="18"/>
      <c r="L6" s="18"/>
      <c r="M6" s="18"/>
      <c r="N6" s="18"/>
      <c r="O6" s="18"/>
      <c r="P6" s="18"/>
      <c r="Q6" s="18"/>
      <c r="R6" s="18"/>
      <c r="S6" s="9"/>
    </row>
    <row r="7" spans="1:20" ht="20.100000000000001" customHeight="1" thickBot="1" x14ac:dyDescent="0.45">
      <c r="B7" s="842"/>
      <c r="C7" s="842"/>
      <c r="D7" s="842"/>
      <c r="E7" s="842"/>
      <c r="F7" s="842"/>
      <c r="G7" s="843"/>
      <c r="H7" s="71"/>
      <c r="I7" s="18"/>
      <c r="J7" s="18"/>
      <c r="K7" s="18"/>
      <c r="L7" s="18"/>
      <c r="M7" s="18"/>
      <c r="N7" s="18"/>
      <c r="O7" s="18"/>
      <c r="P7" s="18"/>
      <c r="Q7" s="18"/>
      <c r="R7" s="18"/>
      <c r="S7" s="9"/>
    </row>
    <row r="8" spans="1:20" ht="20.100000000000001" customHeight="1" thickBot="1" x14ac:dyDescent="0.4">
      <c r="B8" s="901" t="s">
        <v>36</v>
      </c>
      <c r="C8" s="902"/>
      <c r="D8" s="902"/>
      <c r="E8" s="902"/>
      <c r="F8" s="903"/>
      <c r="G8" s="52"/>
      <c r="H8" s="19"/>
      <c r="I8" s="56"/>
      <c r="K8" s="18"/>
      <c r="L8" s="18"/>
      <c r="M8" s="18"/>
      <c r="N8" s="18"/>
      <c r="O8" s="18"/>
      <c r="T8" s="56"/>
    </row>
    <row r="9" spans="1:20" ht="20.100000000000001" customHeight="1" thickBot="1" x14ac:dyDescent="0.4">
      <c r="B9" s="5" t="s">
        <v>12</v>
      </c>
      <c r="C9" s="6"/>
      <c r="D9" s="6"/>
      <c r="E9" s="6"/>
      <c r="F9" s="72"/>
      <c r="G9" s="52"/>
      <c r="H9" s="262" t="s">
        <v>2</v>
      </c>
      <c r="I9" s="56"/>
      <c r="K9" s="18"/>
      <c r="L9" s="18"/>
      <c r="M9" s="18"/>
      <c r="N9" s="18"/>
      <c r="O9" s="18"/>
      <c r="T9" s="56"/>
    </row>
    <row r="10" spans="1:20" ht="20.100000000000001" customHeight="1" thickBot="1" x14ac:dyDescent="0.4">
      <c r="B10" s="7" t="s">
        <v>122</v>
      </c>
      <c r="C10" s="50"/>
      <c r="D10" s="50"/>
      <c r="E10" s="8"/>
      <c r="F10" s="160">
        <f>ROUND(MIN(10,'Excel Output'!$D$22/1000),1)</f>
        <v>5</v>
      </c>
      <c r="G10" s="975"/>
      <c r="H10" s="363" t="s">
        <v>229</v>
      </c>
      <c r="I10" s="56"/>
      <c r="K10" s="18"/>
      <c r="L10" s="18"/>
      <c r="M10" s="18"/>
      <c r="N10" s="18"/>
      <c r="O10" s="18"/>
      <c r="T10" s="56"/>
    </row>
    <row r="11" spans="1:20" ht="20.100000000000001" customHeight="1" thickBot="1" x14ac:dyDescent="0.4">
      <c r="B11" s="7" t="s">
        <v>123</v>
      </c>
      <c r="C11" s="50"/>
      <c r="D11" s="50"/>
      <c r="E11" s="8"/>
      <c r="F11" s="166">
        <f ca="1">ROUND(Benchmarks!$D$16,2)</f>
        <v>175032.71</v>
      </c>
      <c r="G11" s="52"/>
      <c r="H11"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11" s="56"/>
      <c r="K11" s="18"/>
      <c r="L11" s="18"/>
      <c r="M11" s="18"/>
      <c r="N11" s="18"/>
      <c r="O11" s="18"/>
      <c r="Q11" s="814"/>
      <c r="T11" s="56"/>
    </row>
    <row r="12" spans="1:20" ht="20.100000000000001" customHeight="1" thickBot="1" x14ac:dyDescent="0.4">
      <c r="B12" s="91" t="s">
        <v>331</v>
      </c>
      <c r="C12" s="103"/>
      <c r="D12" s="103"/>
      <c r="E12" s="104"/>
      <c r="F12" s="102">
        <f ca="1">ROUND(F10*F11,0)</f>
        <v>875164</v>
      </c>
      <c r="G12" s="52"/>
      <c r="H12" s="503" t="s">
        <v>8</v>
      </c>
      <c r="I12" s="56"/>
      <c r="K12" s="18"/>
      <c r="L12" s="18"/>
      <c r="M12" s="18"/>
      <c r="N12" s="18"/>
      <c r="O12" s="18"/>
      <c r="Q12" s="814"/>
      <c r="T12" s="56"/>
    </row>
    <row r="13" spans="1:20" ht="20.100000000000001" customHeight="1" thickBot="1" x14ac:dyDescent="0.4">
      <c r="B13" s="74" t="s">
        <v>13</v>
      </c>
      <c r="C13" s="75"/>
      <c r="D13" s="75"/>
      <c r="E13" s="67"/>
      <c r="F13" s="12"/>
      <c r="G13" s="52"/>
      <c r="H13" s="149"/>
      <c r="I13" s="73"/>
      <c r="K13" s="18"/>
      <c r="L13" s="18"/>
      <c r="M13" s="18"/>
      <c r="N13" s="18"/>
      <c r="O13" s="18"/>
      <c r="Q13" s="814"/>
      <c r="T13" s="56"/>
    </row>
    <row r="14" spans="1:20" ht="20.100000000000001" customHeight="1" thickBot="1" x14ac:dyDescent="0.4">
      <c r="B14" s="7" t="s">
        <v>15</v>
      </c>
      <c r="C14" s="50"/>
      <c r="D14" s="50"/>
      <c r="F14" s="87">
        <f>IF(ISNUMBER(SEARCH("VCF",'Initial Screens'!$C$13)),MIN(50%,ROUND(40%*(1+Compute!$D$29),3)),ROUND(20%,3))</f>
        <v>0.48</v>
      </c>
      <c r="G14" s="802"/>
      <c r="H14" s="385" t="s">
        <v>6</v>
      </c>
      <c r="I14" s="56"/>
      <c r="K14" s="18"/>
      <c r="L14" s="18"/>
      <c r="M14" s="18"/>
      <c r="N14" s="18"/>
      <c r="O14" s="18"/>
      <c r="Q14" s="814"/>
      <c r="T14" s="56"/>
    </row>
    <row r="15" spans="1:20" ht="20.100000000000001" customHeight="1" thickBot="1" x14ac:dyDescent="0.4">
      <c r="B15" s="91" t="s">
        <v>332</v>
      </c>
      <c r="C15" s="103"/>
      <c r="D15" s="103"/>
      <c r="E15" s="104"/>
      <c r="F15" s="102">
        <f ca="1">ROUND(F12*(1-F14),0)</f>
        <v>455085</v>
      </c>
      <c r="G15" s="52"/>
      <c r="H15" s="503" t="s">
        <v>8</v>
      </c>
      <c r="I15" s="56"/>
      <c r="K15" s="18"/>
      <c r="L15" s="18"/>
      <c r="M15" s="18"/>
      <c r="N15" s="18"/>
      <c r="O15" s="18"/>
      <c r="Q15" s="814"/>
      <c r="T15" s="56"/>
    </row>
    <row r="16" spans="1:20" ht="19.8" customHeight="1" thickBot="1" x14ac:dyDescent="0.4">
      <c r="F16" s="13"/>
      <c r="G16" s="52"/>
      <c r="H16" s="2"/>
      <c r="I16" s="56"/>
      <c r="K16" s="18"/>
      <c r="L16" s="18"/>
      <c r="M16" s="18"/>
      <c r="N16" s="18"/>
      <c r="O16" s="18"/>
      <c r="Q16" s="814"/>
      <c r="T16" s="56"/>
    </row>
    <row r="17" spans="1:20" ht="20.100000000000001" customHeight="1" thickBot="1" x14ac:dyDescent="0.4">
      <c r="A17" s="714" t="str">
        <f>IF('Initial Screens'!$C$13="VVF","Hide","Show")</f>
        <v>Show</v>
      </c>
      <c r="B17" s="901" t="s">
        <v>38</v>
      </c>
      <c r="C17" s="902"/>
      <c r="D17" s="902"/>
      <c r="E17" s="902"/>
      <c r="F17" s="903"/>
      <c r="G17" s="19"/>
      <c r="H17" s="19"/>
      <c r="I17" s="56"/>
      <c r="K17" s="18"/>
      <c r="L17" s="18"/>
      <c r="M17" s="18"/>
      <c r="N17" s="18"/>
      <c r="O17" s="18"/>
      <c r="Q17" s="814"/>
      <c r="T17" s="56"/>
    </row>
    <row r="18" spans="1:20" ht="20.100000000000001" customHeight="1" thickBot="1" x14ac:dyDescent="0.4">
      <c r="A18" s="714" t="str">
        <f>IF('Initial Screens'!$C$13="VVF","Hide","Show")</f>
        <v>Show</v>
      </c>
      <c r="B18" s="5" t="s">
        <v>12</v>
      </c>
      <c r="C18" s="6"/>
      <c r="D18" s="6"/>
      <c r="E18" s="6"/>
      <c r="F18" s="72"/>
      <c r="G18" s="52"/>
      <c r="H18" s="262" t="s">
        <v>2</v>
      </c>
      <c r="I18" s="56"/>
      <c r="K18" s="18"/>
      <c r="L18" s="18"/>
      <c r="M18" s="18"/>
      <c r="N18" s="18"/>
      <c r="O18" s="18"/>
      <c r="Q18" s="814"/>
      <c r="T18" s="56"/>
    </row>
    <row r="19" spans="1:20" ht="20.100000000000001" customHeight="1" thickBot="1" x14ac:dyDescent="0.4">
      <c r="A19" s="714" t="str">
        <f>IF('Initial Screens'!$C$13="VVF","Hide","Show")</f>
        <v>Show</v>
      </c>
      <c r="B19" s="7" t="s">
        <v>127</v>
      </c>
      <c r="C19" s="50"/>
      <c r="D19" s="50"/>
      <c r="E19" s="8"/>
      <c r="F19" s="160">
        <f>IF(A17="Show",ROUND(MIN(10,'Excel Output'!D22*'Excel Output'!D24/1000/300),1),0)</f>
        <v>5</v>
      </c>
      <c r="G19" s="708"/>
      <c r="H19" s="363" t="s">
        <v>230</v>
      </c>
      <c r="I19" s="56"/>
      <c r="K19" s="18"/>
      <c r="L19" s="18"/>
      <c r="M19" s="18"/>
      <c r="N19" s="18"/>
      <c r="O19" s="18"/>
      <c r="T19" s="56"/>
    </row>
    <row r="20" spans="1:20" ht="20.100000000000001" customHeight="1" thickBot="1" x14ac:dyDescent="0.4">
      <c r="A20" s="714" t="str">
        <f>IF('Initial Screens'!$C$13="VVF","Hide","Show")</f>
        <v>Show</v>
      </c>
      <c r="B20" s="7" t="s">
        <v>128</v>
      </c>
      <c r="C20" s="50"/>
      <c r="D20" s="50"/>
      <c r="E20" s="8"/>
      <c r="F20" s="166">
        <f ca="1">ROUND(Benchmarks!$D$16,2)</f>
        <v>175032.71</v>
      </c>
      <c r="G20" s="52"/>
      <c r="H20"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20" s="56"/>
      <c r="K20" s="18"/>
      <c r="L20" s="18"/>
      <c r="M20" s="18"/>
      <c r="N20" s="18"/>
      <c r="O20" s="18"/>
      <c r="T20" s="56"/>
    </row>
    <row r="21" spans="1:20" ht="20.100000000000001" customHeight="1" thickBot="1" x14ac:dyDescent="0.4">
      <c r="A21" s="714" t="str">
        <f>IF('Initial Screens'!$C$13="VVF","Hide","Show")</f>
        <v>Show</v>
      </c>
      <c r="B21" s="91" t="s">
        <v>331</v>
      </c>
      <c r="C21" s="103"/>
      <c r="D21" s="103"/>
      <c r="E21" s="104"/>
      <c r="F21" s="147">
        <f ca="1">ROUND(F19*F20,0)</f>
        <v>875164</v>
      </c>
      <c r="G21" s="52"/>
      <c r="H21" s="503" t="s">
        <v>8</v>
      </c>
      <c r="I21" s="56"/>
      <c r="K21" s="18"/>
      <c r="L21" s="18"/>
      <c r="M21" s="18"/>
      <c r="N21" s="18"/>
      <c r="O21" s="18"/>
      <c r="T21" s="56"/>
    </row>
    <row r="22" spans="1:20" ht="20.100000000000001" customHeight="1" thickBot="1" x14ac:dyDescent="0.4">
      <c r="A22" s="714" t="str">
        <f>IF('Initial Screens'!$C$13="VVF","Hide","Show")</f>
        <v>Show</v>
      </c>
      <c r="B22" s="74" t="s">
        <v>13</v>
      </c>
      <c r="C22" s="75"/>
      <c r="D22" s="75"/>
      <c r="E22" s="67"/>
      <c r="F22" s="12"/>
      <c r="G22" s="52"/>
      <c r="H22" s="149"/>
      <c r="I22" s="73"/>
      <c r="K22" s="18"/>
      <c r="L22" s="18"/>
      <c r="M22" s="18"/>
      <c r="N22" s="18"/>
      <c r="O22" s="18"/>
      <c r="T22" s="56"/>
    </row>
    <row r="23" spans="1:20" ht="20.100000000000001" customHeight="1" thickBot="1" x14ac:dyDescent="0.4">
      <c r="A23" s="714" t="str">
        <f>IF('Initial Screens'!$C$13="VVF","Hide","Show")</f>
        <v>Show</v>
      </c>
      <c r="B23" s="7" t="s">
        <v>15</v>
      </c>
      <c r="C23" s="50"/>
      <c r="D23" s="50"/>
      <c r="E23" s="62"/>
      <c r="F23" s="87">
        <f>MIN(50%,ROUND(40%*Misc!$E$139*(1+(Storage!F11-Storage!F25)/Storage!F11),3))</f>
        <v>0.5</v>
      </c>
      <c r="G23" s="806"/>
      <c r="H23" s="385" t="s">
        <v>6</v>
      </c>
      <c r="I23" s="56"/>
      <c r="K23" s="18"/>
      <c r="L23" s="18"/>
      <c r="M23" s="18"/>
      <c r="N23" s="18"/>
      <c r="O23" s="18"/>
      <c r="T23" s="56"/>
    </row>
    <row r="24" spans="1:20" ht="20.100000000000001" customHeight="1" thickBot="1" x14ac:dyDescent="0.35">
      <c r="A24" s="714" t="str">
        <f>IF('Initial Screens'!$C$13="VVF","Hide","Show")</f>
        <v>Show</v>
      </c>
      <c r="B24" s="91" t="s">
        <v>332</v>
      </c>
      <c r="C24" s="103"/>
      <c r="D24" s="103"/>
      <c r="E24" s="104"/>
      <c r="F24" s="102">
        <f ca="1">ROUND(F21*(1-F23),0)</f>
        <v>437582</v>
      </c>
      <c r="G24" s="52"/>
      <c r="H24" s="503" t="s">
        <v>8</v>
      </c>
      <c r="I24" s="56"/>
      <c r="O24" s="2"/>
      <c r="T24" s="56"/>
    </row>
    <row r="25" spans="1:20" ht="20.100000000000001" customHeight="1" thickBot="1" x14ac:dyDescent="0.35">
      <c r="F25" s="13"/>
      <c r="G25" s="52"/>
      <c r="H25" s="2"/>
      <c r="I25" s="56"/>
      <c r="T25" s="56"/>
    </row>
    <row r="26" spans="1:20" ht="20.100000000000001" customHeight="1" thickBot="1" x14ac:dyDescent="0.35">
      <c r="A26" s="801" t="str">
        <f>IF(ISNUMBER(SEARCH("VCF",'Initial Screens'!$C$13)),"Show",IF(OR('Initial Screens'!$D$26="Yes",'Initial Screens'!$D$27="Yes"),"Show","Hide"))</f>
        <v>Show</v>
      </c>
      <c r="B26" s="901" t="s">
        <v>37</v>
      </c>
      <c r="C26" s="902"/>
      <c r="D26" s="902"/>
      <c r="E26" s="902"/>
      <c r="F26" s="903"/>
      <c r="G26" s="52"/>
      <c r="H26" s="19"/>
      <c r="I26" s="56"/>
      <c r="T26" s="56"/>
    </row>
    <row r="27" spans="1:20" ht="20.100000000000001" customHeight="1" thickBot="1" x14ac:dyDescent="0.35">
      <c r="A27" s="801" t="str">
        <f>$A$26</f>
        <v>Show</v>
      </c>
      <c r="B27" s="5" t="s">
        <v>12</v>
      </c>
      <c r="C27" s="6"/>
      <c r="D27" s="6"/>
      <c r="E27" s="6"/>
      <c r="F27" s="72"/>
      <c r="G27" s="52"/>
      <c r="H27" s="262" t="s">
        <v>2</v>
      </c>
      <c r="I27" s="56"/>
      <c r="O27" s="2"/>
      <c r="P27" s="3"/>
      <c r="Q27" s="17"/>
      <c r="R27" s="2"/>
      <c r="S27" s="2"/>
      <c r="T27" s="56"/>
    </row>
    <row r="28" spans="1:20" ht="20.100000000000001" customHeight="1" thickBot="1" x14ac:dyDescent="0.35">
      <c r="A28" s="801" t="str">
        <f t="shared" ref="A28:A33" si="0">$A$26</f>
        <v>Show</v>
      </c>
      <c r="B28" s="7" t="s">
        <v>124</v>
      </c>
      <c r="C28" s="50"/>
      <c r="D28" s="50"/>
      <c r="E28" s="8"/>
      <c r="F28" s="160">
        <f>ROUND(MIN(10,'Excel Output'!$D$22/1000),1)</f>
        <v>5</v>
      </c>
      <c r="G28" s="52"/>
      <c r="H28" s="363" t="s">
        <v>229</v>
      </c>
      <c r="I28" s="56"/>
      <c r="O28" s="2"/>
      <c r="P28" s="3"/>
      <c r="Q28" s="17"/>
      <c r="R28" s="2"/>
      <c r="S28" s="2"/>
      <c r="T28" s="56"/>
    </row>
    <row r="29" spans="1:20" ht="20.100000000000001" customHeight="1" thickBot="1" x14ac:dyDescent="0.35">
      <c r="A29" s="801" t="str">
        <f t="shared" si="0"/>
        <v>Show</v>
      </c>
      <c r="B29" s="7" t="s">
        <v>125</v>
      </c>
      <c r="C29" s="50"/>
      <c r="D29" s="50"/>
      <c r="E29" s="8"/>
      <c r="F29" s="166">
        <f ca="1">ROUND(Benchmarks!$D$16,2)</f>
        <v>175032.71</v>
      </c>
      <c r="G29" s="52"/>
      <c r="H29"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29" s="56"/>
      <c r="O29" s="2"/>
      <c r="P29" s="3"/>
      <c r="Q29" s="17"/>
      <c r="R29" s="2"/>
      <c r="S29" s="2"/>
      <c r="T29" s="56"/>
    </row>
    <row r="30" spans="1:20" ht="20.100000000000001" customHeight="1" thickBot="1" x14ac:dyDescent="0.35">
      <c r="A30" s="801" t="str">
        <f t="shared" si="0"/>
        <v>Show</v>
      </c>
      <c r="B30" s="91" t="s">
        <v>331</v>
      </c>
      <c r="C30" s="103"/>
      <c r="D30" s="103"/>
      <c r="E30" s="104"/>
      <c r="F30" s="147">
        <f ca="1">ROUND(F28*F29,0)</f>
        <v>875164</v>
      </c>
      <c r="G30" s="52"/>
      <c r="H30" s="503" t="s">
        <v>8</v>
      </c>
      <c r="I30" s="56"/>
      <c r="T30" s="56"/>
    </row>
    <row r="31" spans="1:20" ht="20.100000000000001" customHeight="1" thickBot="1" x14ac:dyDescent="0.35">
      <c r="A31" s="801" t="str">
        <f t="shared" si="0"/>
        <v>Show</v>
      </c>
      <c r="B31" s="74" t="s">
        <v>13</v>
      </c>
      <c r="C31" s="75"/>
      <c r="D31" s="75"/>
      <c r="E31" s="67"/>
      <c r="F31" s="12"/>
      <c r="G31" s="52"/>
      <c r="H31" s="149"/>
      <c r="I31" s="73"/>
      <c r="T31" s="56"/>
    </row>
    <row r="32" spans="1:20" ht="20.100000000000001" customHeight="1" thickBot="1" x14ac:dyDescent="0.35">
      <c r="A32" s="801" t="str">
        <f t="shared" si="0"/>
        <v>Show</v>
      </c>
      <c r="B32" s="7" t="s">
        <v>126</v>
      </c>
      <c r="C32" s="50"/>
      <c r="D32" s="50"/>
      <c r="E32" s="8"/>
      <c r="F32" s="87">
        <f>IF(ISNUMBER(SEARCH("VCF",'Initial Screens'!$C$13)),MIN(50%,ROUND(40%*(1+Compute!$D$29)*('Excel Output'!E29-'Excel Output'!D29),3)),ROUND(20%,3))</f>
        <v>0.48</v>
      </c>
      <c r="G32" s="806"/>
      <c r="H32" s="385" t="s">
        <v>6</v>
      </c>
      <c r="I32" s="56"/>
      <c r="O32" s="2"/>
      <c r="P32" s="3"/>
      <c r="Q32" s="17"/>
      <c r="R32" s="2"/>
      <c r="S32" s="2"/>
      <c r="T32" s="56"/>
    </row>
    <row r="33" spans="1:20" ht="20.100000000000001" customHeight="1" thickBot="1" x14ac:dyDescent="0.35">
      <c r="A33" s="801" t="str">
        <f t="shared" si="0"/>
        <v>Show</v>
      </c>
      <c r="B33" s="91" t="s">
        <v>332</v>
      </c>
      <c r="C33" s="103"/>
      <c r="D33" s="103"/>
      <c r="E33" s="104"/>
      <c r="F33" s="102">
        <f ca="1">ROUND(F30*(1-F32),0)</f>
        <v>455085</v>
      </c>
      <c r="G33" s="52"/>
      <c r="H33" s="503" t="s">
        <v>8</v>
      </c>
      <c r="I33" s="56"/>
      <c r="T33" s="56"/>
    </row>
    <row r="34" spans="1:20" ht="20.100000000000001" customHeight="1" thickBot="1" x14ac:dyDescent="0.35">
      <c r="A34" s="807"/>
      <c r="F34" s="2"/>
      <c r="G34" s="52"/>
      <c r="H34" s="2"/>
      <c r="I34" s="56"/>
      <c r="O34" s="2"/>
      <c r="P34" s="3"/>
      <c r="Q34" s="17"/>
      <c r="R34" s="2"/>
      <c r="S34" s="2"/>
      <c r="T34" s="56"/>
    </row>
    <row r="35" spans="1:20" ht="20.100000000000001" customHeight="1" thickBot="1" x14ac:dyDescent="0.35">
      <c r="A35" s="801" t="str">
        <f>IF(ISNUMBER(SEARCH("VCF",'Initial Screens'!$C$13)),"Show","Hide")</f>
        <v>Show</v>
      </c>
      <c r="B35" s="901" t="s">
        <v>39</v>
      </c>
      <c r="C35" s="902"/>
      <c r="D35" s="902"/>
      <c r="E35" s="902"/>
      <c r="F35" s="903"/>
      <c r="G35" s="52"/>
      <c r="H35" s="19"/>
      <c r="I35" s="56"/>
      <c r="K35" s="2">
        <f>3000*2.5</f>
        <v>7500</v>
      </c>
      <c r="T35" s="56"/>
    </row>
    <row r="36" spans="1:20" ht="20.100000000000001" customHeight="1" thickBot="1" x14ac:dyDescent="0.35">
      <c r="A36" s="801" t="str">
        <f>$A$35</f>
        <v>Show</v>
      </c>
      <c r="B36" s="5" t="s">
        <v>12</v>
      </c>
      <c r="C36" s="6"/>
      <c r="D36" s="6"/>
      <c r="E36" s="6"/>
      <c r="F36" s="72"/>
      <c r="G36" s="52"/>
      <c r="H36" s="262" t="s">
        <v>2</v>
      </c>
      <c r="I36" s="56"/>
      <c r="K36" s="2">
        <f>K35/1960</f>
        <v>3.8265306122448979</v>
      </c>
      <c r="T36" s="56"/>
    </row>
    <row r="37" spans="1:20" ht="20.100000000000001" customHeight="1" thickBot="1" x14ac:dyDescent="0.35">
      <c r="A37" s="801" t="str">
        <f t="shared" ref="A37:A42" si="1">$A$35</f>
        <v>Show</v>
      </c>
      <c r="B37" s="808" t="s">
        <v>815</v>
      </c>
      <c r="C37" s="50"/>
      <c r="D37" s="50"/>
      <c r="E37" s="8"/>
      <c r="F37" s="160">
        <f>IF(A35="Show",ROUND(MIN(10,'Excel Output'!$D$22/1000),1),0)</f>
        <v>5</v>
      </c>
      <c r="G37" s="708"/>
      <c r="H37" s="363" t="s">
        <v>229</v>
      </c>
      <c r="I37" s="56"/>
      <c r="T37" s="56"/>
    </row>
    <row r="38" spans="1:20" ht="20.100000000000001" customHeight="1" thickBot="1" x14ac:dyDescent="0.35">
      <c r="A38" s="801" t="str">
        <f t="shared" si="1"/>
        <v>Show</v>
      </c>
      <c r="B38" s="155" t="s">
        <v>129</v>
      </c>
      <c r="C38" s="50"/>
      <c r="D38" s="50"/>
      <c r="E38" s="8"/>
      <c r="F38" s="166">
        <f ca="1">ROUND(Benchmarks!$D$16,2)</f>
        <v>175032.71</v>
      </c>
      <c r="G38" s="52"/>
      <c r="H38"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38" s="56"/>
      <c r="K38" s="2">
        <f>3000/K36</f>
        <v>784</v>
      </c>
      <c r="T38" s="56"/>
    </row>
    <row r="39" spans="1:20" ht="20.100000000000001" customHeight="1" thickBot="1" x14ac:dyDescent="0.35">
      <c r="A39" s="801" t="str">
        <f t="shared" si="1"/>
        <v>Show</v>
      </c>
      <c r="B39" s="91" t="s">
        <v>331</v>
      </c>
      <c r="C39" s="103"/>
      <c r="D39" s="103"/>
      <c r="E39" s="104"/>
      <c r="F39" s="102">
        <f ca="1">ROUND(F37*F38,0)</f>
        <v>875164</v>
      </c>
      <c r="G39" s="52"/>
      <c r="H39" s="503" t="s">
        <v>8</v>
      </c>
      <c r="I39" s="56"/>
      <c r="T39" s="56"/>
    </row>
    <row r="40" spans="1:20" ht="20.100000000000001" customHeight="1" thickBot="1" x14ac:dyDescent="0.35">
      <c r="A40" s="801" t="str">
        <f t="shared" si="1"/>
        <v>Show</v>
      </c>
      <c r="B40" s="74" t="s">
        <v>13</v>
      </c>
      <c r="C40" s="75"/>
      <c r="D40" s="75"/>
      <c r="E40" s="67"/>
      <c r="F40" s="12"/>
      <c r="G40" s="52"/>
      <c r="H40" s="149"/>
      <c r="I40" s="73"/>
      <c r="T40" s="56"/>
    </row>
    <row r="41" spans="1:20" ht="20.100000000000001" customHeight="1" thickBot="1" x14ac:dyDescent="0.35">
      <c r="A41" s="801" t="str">
        <f t="shared" si="1"/>
        <v>Show</v>
      </c>
      <c r="B41" s="841" t="s">
        <v>816</v>
      </c>
      <c r="C41" s="50"/>
      <c r="D41" s="50"/>
      <c r="E41" s="62"/>
      <c r="F41" s="87">
        <f>IF(ISNUMBER(SEARCH("VCF",'Initial Screens'!$C$13)),MIN(50%,ROUND(40%*(1+Compute!$D$29)*Misc!E137,3)),ROUND(20%,3))</f>
        <v>0.48</v>
      </c>
      <c r="G41" s="806"/>
      <c r="H41" s="385" t="s">
        <v>817</v>
      </c>
      <c r="I41" s="56"/>
      <c r="T41" s="56"/>
    </row>
    <row r="42" spans="1:20" ht="20.100000000000001" customHeight="1" thickBot="1" x14ac:dyDescent="0.35">
      <c r="A42" s="801" t="str">
        <f t="shared" si="1"/>
        <v>Show</v>
      </c>
      <c r="B42" s="91" t="s">
        <v>332</v>
      </c>
      <c r="C42" s="103"/>
      <c r="D42" s="103"/>
      <c r="E42" s="104"/>
      <c r="F42" s="102">
        <f ca="1">ROUND(F39*(1-F41),0)</f>
        <v>455085</v>
      </c>
      <c r="G42" s="52"/>
      <c r="H42" s="503" t="s">
        <v>8</v>
      </c>
      <c r="I42" s="56"/>
      <c r="T42" s="56"/>
    </row>
    <row r="43" spans="1:20" ht="20.100000000000001" customHeight="1" thickBot="1" x14ac:dyDescent="0.35">
      <c r="A43" s="807"/>
      <c r="F43" s="13"/>
      <c r="G43" s="52"/>
      <c r="H43" s="2"/>
      <c r="I43" s="56"/>
      <c r="T43" s="56"/>
    </row>
    <row r="44" spans="1:20" ht="20.100000000000001" customHeight="1" thickBot="1" x14ac:dyDescent="0.35">
      <c r="A44" s="801" t="str">
        <f>IF(ISNUMBER(SEARCH("VCF",'Initial Screens'!$C$13)),"Show","Hide")</f>
        <v>Show</v>
      </c>
      <c r="B44" s="901" t="str">
        <f>IF('Initial Screens'!C13="VCF 9", "Operational Efficency for Enterprise/Cloud Admin with VCF operations","Software Defined Datacenter (SDDC) Manager Productivity")</f>
        <v>Operational Efficency for Enterprise/Cloud Admin with VCF operations</v>
      </c>
      <c r="C44" s="902"/>
      <c r="D44" s="902"/>
      <c r="E44" s="902"/>
      <c r="F44" s="903"/>
      <c r="G44" s="52"/>
      <c r="H44" s="19"/>
      <c r="I44" s="56"/>
      <c r="T44" s="56"/>
    </row>
    <row r="45" spans="1:20" ht="20.100000000000001" customHeight="1" thickBot="1" x14ac:dyDescent="0.35">
      <c r="A45" s="801" t="str">
        <f>$A$44</f>
        <v>Show</v>
      </c>
      <c r="B45" s="170" t="s">
        <v>12</v>
      </c>
      <c r="C45" s="6"/>
      <c r="D45" s="6"/>
      <c r="E45" s="6"/>
      <c r="F45" s="72"/>
      <c r="G45" s="52"/>
      <c r="H45" s="262" t="s">
        <v>2</v>
      </c>
      <c r="I45" s="56"/>
      <c r="T45" s="56"/>
    </row>
    <row r="46" spans="1:20" ht="20.100000000000001" customHeight="1" thickBot="1" x14ac:dyDescent="0.35">
      <c r="A46" s="801" t="str">
        <f t="shared" ref="A46:A56" si="2">$A$44</f>
        <v>Show</v>
      </c>
      <c r="B46" s="808" t="str">
        <f>IF('Initial Screens'!C13="VCF 9","Number of Cloud/Enterprise Admin", "Number of IT admin for existing SDDC Software LCM")</f>
        <v>Number of Cloud/Enterprise Admin</v>
      </c>
      <c r="C46" s="168"/>
      <c r="D46" s="50"/>
      <c r="E46" s="173"/>
      <c r="F46" s="160">
        <f>IF(A44="Show",ROUND(3,1),0)</f>
        <v>3</v>
      </c>
      <c r="G46" s="708"/>
      <c r="H46" s="363" t="s">
        <v>6</v>
      </c>
      <c r="I46" s="56"/>
      <c r="T46" s="56"/>
    </row>
    <row r="47" spans="1:20" ht="20.100000000000001" customHeight="1" thickBot="1" x14ac:dyDescent="0.35">
      <c r="A47" s="801" t="str">
        <f>IF(AND('Initial Screens'!C13="VCF 9",A46="Show"),"Show","hide")</f>
        <v>Show</v>
      </c>
      <c r="B47" s="808" t="s">
        <v>805</v>
      </c>
      <c r="C47" s="168"/>
      <c r="D47" s="50"/>
      <c r="E47" s="173"/>
      <c r="F47" s="160">
        <f>IF(A47="Show",26,0)</f>
        <v>26</v>
      </c>
      <c r="G47" s="708"/>
      <c r="H47" s="385" t="s">
        <v>804</v>
      </c>
      <c r="I47" s="56"/>
      <c r="T47" s="56"/>
    </row>
    <row r="48" spans="1:20" ht="20.100000000000001" customHeight="1" thickBot="1" x14ac:dyDescent="0.35">
      <c r="A48" s="801" t="str">
        <f>$A$47</f>
        <v>Show</v>
      </c>
      <c r="B48" s="808" t="s">
        <v>806</v>
      </c>
      <c r="C48" s="168"/>
      <c r="D48" s="50"/>
      <c r="E48" s="173"/>
      <c r="F48" s="160">
        <f>IF(A48="Show",4,0)</f>
        <v>4</v>
      </c>
      <c r="G48" s="708"/>
      <c r="H48" s="385" t="s">
        <v>804</v>
      </c>
      <c r="I48" s="56"/>
      <c r="T48" s="56"/>
    </row>
    <row r="49" spans="1:20" ht="20.100000000000001" customHeight="1" thickBot="1" x14ac:dyDescent="0.35">
      <c r="A49" s="801" t="str">
        <f>$A$47</f>
        <v>Show</v>
      </c>
      <c r="B49" s="808" t="s">
        <v>807</v>
      </c>
      <c r="C49" s="168"/>
      <c r="D49" s="50"/>
      <c r="E49" s="173"/>
      <c r="F49" s="160">
        <f>IF(A49="Show",96,0)</f>
        <v>96</v>
      </c>
      <c r="G49" s="708"/>
      <c r="H49" s="363"/>
      <c r="I49" s="56"/>
      <c r="T49" s="56"/>
    </row>
    <row r="50" spans="1:20" ht="19.8" customHeight="1" thickBot="1" x14ac:dyDescent="0.35">
      <c r="A50" s="801" t="str">
        <f t="shared" si="2"/>
        <v>Show</v>
      </c>
      <c r="B50" s="155" t="s">
        <v>129</v>
      </c>
      <c r="C50" s="172"/>
      <c r="D50" s="50"/>
      <c r="E50" s="173"/>
      <c r="F50" s="166">
        <f ca="1">ROUND(Benchmarks!$D$16,2)</f>
        <v>175032.71</v>
      </c>
      <c r="G50" s="52"/>
      <c r="H50"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50" s="56"/>
      <c r="T50" s="56"/>
    </row>
    <row r="51" spans="1:20" ht="20.100000000000001" customHeight="1" thickBot="1" x14ac:dyDescent="0.35">
      <c r="A51" s="801" t="str">
        <f t="shared" si="2"/>
        <v>Show</v>
      </c>
      <c r="B51" s="91" t="s">
        <v>331</v>
      </c>
      <c r="C51" s="103"/>
      <c r="D51" s="103"/>
      <c r="E51" s="104"/>
      <c r="F51" s="102">
        <f ca="1">ROUND(IF('Initial Screens'!C13="VCF 9",F47*F48*F46*F50/2080+F49*F50/2080+F46*F50,F46*F50),0)</f>
        <v>559431</v>
      </c>
      <c r="G51" s="271"/>
      <c r="H51" s="503" t="s">
        <v>8</v>
      </c>
      <c r="I51" s="56"/>
      <c r="T51" s="56"/>
    </row>
    <row r="52" spans="1:20" ht="20.100000000000001" customHeight="1" thickBot="1" x14ac:dyDescent="0.35">
      <c r="A52" s="801" t="str">
        <f t="shared" si="2"/>
        <v>Show</v>
      </c>
      <c r="B52" s="171" t="s">
        <v>13</v>
      </c>
      <c r="C52" s="75"/>
      <c r="D52" s="75"/>
      <c r="E52" s="67"/>
      <c r="F52" s="12"/>
      <c r="G52" s="52"/>
      <c r="H52" s="149"/>
      <c r="I52" s="56"/>
      <c r="T52" s="56"/>
    </row>
    <row r="53" spans="1:20" ht="20.100000000000001" customHeight="1" thickBot="1" x14ac:dyDescent="0.35">
      <c r="A53" s="801" t="str">
        <f t="shared" si="2"/>
        <v>Show</v>
      </c>
      <c r="B53" s="155" t="s">
        <v>15</v>
      </c>
      <c r="C53" s="50"/>
      <c r="D53" s="174"/>
      <c r="E53" s="175"/>
      <c r="F53" s="87">
        <f>IF(ISNUMBER(SEARCH("VCF",'Initial Screens'!$C$13)),MIN(50%,ROUND(IF('Initial Screens'!$C$13="VCF 9",60%*(1+Compute!$D$29)*('Excel Output'!E27-'Excel Output'!D27),40%),3)),ROUND(20%,3))</f>
        <v>0.5</v>
      </c>
      <c r="G53" s="52"/>
      <c r="H53" s="385" t="s">
        <v>6</v>
      </c>
      <c r="I53" s="56"/>
      <c r="T53" s="56"/>
    </row>
    <row r="54" spans="1:20" ht="20.100000000000001" customHeight="1" thickBot="1" x14ac:dyDescent="0.35">
      <c r="A54" s="801" t="str">
        <f t="shared" ref="A54:A55" si="3">$A$47</f>
        <v>Show</v>
      </c>
      <c r="B54" s="155" t="s">
        <v>808</v>
      </c>
      <c r="C54" s="50"/>
      <c r="D54" s="174"/>
      <c r="E54" s="830"/>
      <c r="F54" s="87">
        <f>IF(A54="Show",MIN(77%,ROUND(77%*Misc!E136,3)),0)</f>
        <v>0.77</v>
      </c>
      <c r="G54" s="52"/>
      <c r="H54" s="385" t="s">
        <v>804</v>
      </c>
      <c r="I54" s="56"/>
      <c r="T54" s="56"/>
    </row>
    <row r="55" spans="1:20" ht="20.100000000000001" customHeight="1" thickBot="1" x14ac:dyDescent="0.35">
      <c r="A55" s="801" t="str">
        <f t="shared" si="3"/>
        <v>Show</v>
      </c>
      <c r="B55" s="155" t="s">
        <v>809</v>
      </c>
      <c r="C55" s="50"/>
      <c r="D55" s="174"/>
      <c r="E55" s="830"/>
      <c r="F55" s="87">
        <f>IF(A55="Show",MIN(79%,ROUND(79%*Misc!E136,3)),0)</f>
        <v>0.79</v>
      </c>
      <c r="G55" s="52"/>
      <c r="H55" s="385" t="s">
        <v>804</v>
      </c>
      <c r="I55" s="56"/>
      <c r="T55" s="56"/>
    </row>
    <row r="56" spans="1:20" ht="20.100000000000001" customHeight="1" thickBot="1" x14ac:dyDescent="0.35">
      <c r="A56" s="801" t="str">
        <f t="shared" si="2"/>
        <v>Show</v>
      </c>
      <c r="B56" s="91" t="s">
        <v>332</v>
      </c>
      <c r="C56" s="103"/>
      <c r="D56" s="103"/>
      <c r="E56" s="104"/>
      <c r="F56" s="102">
        <f ca="1">ROUND(F51*(1-F53)+(F47*F48*F46*F50/2080)*(1-F54)+(F49*F50/2080)*(1-F55),0)</f>
        <v>287451</v>
      </c>
      <c r="G56" s="52"/>
      <c r="H56" s="503" t="s">
        <v>8</v>
      </c>
      <c r="I56" s="56"/>
      <c r="T56" s="56"/>
    </row>
    <row r="57" spans="1:20" ht="20.100000000000001" customHeight="1" thickBot="1" x14ac:dyDescent="0.35">
      <c r="F57" s="13"/>
      <c r="G57" s="52"/>
      <c r="H57" s="2"/>
      <c r="I57" s="56"/>
      <c r="T57" s="56"/>
    </row>
    <row r="58" spans="1:20" ht="20.100000000000001" customHeight="1" thickBot="1" x14ac:dyDescent="0.35">
      <c r="A58" s="333" t="str">
        <f>IF('Initial Screens'!$D$28="Yes","Show","Hide")</f>
        <v>Hide</v>
      </c>
      <c r="B58" s="901" t="s">
        <v>320</v>
      </c>
      <c r="C58" s="902"/>
      <c r="D58" s="902"/>
      <c r="E58" s="902"/>
      <c r="F58" s="903"/>
      <c r="G58" s="331"/>
      <c r="H58" s="19"/>
      <c r="M58" s="16"/>
      <c r="N58" s="16"/>
      <c r="P58" s="13"/>
      <c r="Q58" s="17"/>
      <c r="R58" s="56"/>
      <c r="S58" s="2"/>
    </row>
    <row r="59" spans="1:20" ht="20.100000000000001" customHeight="1" thickBot="1" x14ac:dyDescent="0.35">
      <c r="A59" s="333" t="str">
        <f>IF('Initial Screens'!$D$28="Yes","Show","Hide")</f>
        <v>Hide</v>
      </c>
      <c r="B59" s="5" t="s">
        <v>12</v>
      </c>
      <c r="C59" s="6"/>
      <c r="D59" s="6"/>
      <c r="E59" s="6"/>
      <c r="F59" s="72"/>
      <c r="G59" s="332"/>
      <c r="H59" s="11" t="s">
        <v>2</v>
      </c>
      <c r="M59" s="16"/>
      <c r="N59" s="16"/>
      <c r="P59" s="13"/>
      <c r="Q59" s="17"/>
      <c r="R59" s="56"/>
      <c r="S59" s="2"/>
    </row>
    <row r="60" spans="1:20" ht="20.100000000000001" customHeight="1" thickBot="1" x14ac:dyDescent="0.35">
      <c r="A60" s="333" t="str">
        <f>IF('Initial Screens'!$D$28="Yes","Show","Hide")</f>
        <v>Hide</v>
      </c>
      <c r="B60" s="7" t="s">
        <v>321</v>
      </c>
      <c r="C60" s="50"/>
      <c r="D60" s="50"/>
      <c r="E60" s="8"/>
      <c r="F60" s="550">
        <f>IF(A58="Show",ROUND(MIN(10,MAX(3,'Excel Output'!D22/1000)),1),0)</f>
        <v>0</v>
      </c>
      <c r="G60" s="708"/>
      <c r="H60" s="363" t="s">
        <v>66</v>
      </c>
      <c r="M60" s="16"/>
      <c r="N60" s="16"/>
      <c r="P60" s="13"/>
      <c r="Q60" s="17"/>
      <c r="R60" s="56"/>
      <c r="S60" s="2"/>
    </row>
    <row r="61" spans="1:20" ht="20.100000000000001" customHeight="1" thickBot="1" x14ac:dyDescent="0.35">
      <c r="A61" s="333" t="str">
        <f>IF('Initial Screens'!$D$28="Yes","Show","Hide")</f>
        <v>Hide</v>
      </c>
      <c r="B61" s="7" t="s">
        <v>322</v>
      </c>
      <c r="C61" s="50"/>
      <c r="D61" s="50"/>
      <c r="E61" s="8"/>
      <c r="F61" s="166">
        <f ca="1">ROUND(Benchmarks!$D$16,2)</f>
        <v>175032.71</v>
      </c>
      <c r="G61" s="149"/>
      <c r="H61"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M61" s="16"/>
      <c r="N61" s="16"/>
      <c r="P61" s="13"/>
      <c r="Q61" s="17"/>
      <c r="R61" s="56"/>
      <c r="S61" s="2"/>
    </row>
    <row r="62" spans="1:20" ht="20.100000000000001" customHeight="1" thickBot="1" x14ac:dyDescent="0.35">
      <c r="A62" s="333" t="str">
        <f>IF('Initial Screens'!$D$28="Yes","Show","Hide")</f>
        <v>Hide</v>
      </c>
      <c r="B62" s="91" t="s">
        <v>331</v>
      </c>
      <c r="C62" s="103"/>
      <c r="D62" s="103"/>
      <c r="E62" s="104"/>
      <c r="F62" s="102">
        <f>IF('Initial Screens'!$D$28="Yes",ROUND(F60*F61,0),0)</f>
        <v>0</v>
      </c>
      <c r="G62" s="334"/>
      <c r="H62" s="503" t="s">
        <v>8</v>
      </c>
      <c r="M62" s="16"/>
      <c r="N62" s="16"/>
      <c r="P62" s="13"/>
      <c r="Q62" s="17"/>
      <c r="R62" s="56"/>
      <c r="S62" s="2"/>
    </row>
    <row r="63" spans="1:20" ht="20.100000000000001" customHeight="1" thickBot="1" x14ac:dyDescent="0.35">
      <c r="A63" s="333" t="str">
        <f>IF('Initial Screens'!$D$28="Yes","Show","Hide")</f>
        <v>Hide</v>
      </c>
      <c r="B63" s="74" t="s">
        <v>13</v>
      </c>
      <c r="C63" s="75"/>
      <c r="D63" s="75"/>
      <c r="E63" s="67"/>
      <c r="F63" s="12"/>
      <c r="G63" s="334"/>
      <c r="H63" s="149"/>
      <c r="M63" s="16"/>
      <c r="N63" s="16"/>
      <c r="P63" s="13"/>
      <c r="Q63" s="17"/>
      <c r="R63" s="56"/>
      <c r="S63" s="2"/>
    </row>
    <row r="64" spans="1:20" ht="20.100000000000001" customHeight="1" thickBot="1" x14ac:dyDescent="0.35">
      <c r="A64" s="333" t="str">
        <f>IF('Initial Screens'!$D$28="Yes","Show","Hide")</f>
        <v>Hide</v>
      </c>
      <c r="B64" s="7" t="s">
        <v>15</v>
      </c>
      <c r="C64" s="50"/>
      <c r="D64" s="50"/>
      <c r="F64" s="46">
        <f>ROUND(40%,3)</f>
        <v>0.4</v>
      </c>
      <c r="G64" s="334"/>
      <c r="H64" s="385" t="s">
        <v>6</v>
      </c>
      <c r="M64" s="16"/>
      <c r="N64" s="16"/>
      <c r="P64" s="13"/>
      <c r="Q64" s="17"/>
      <c r="R64" s="56"/>
      <c r="S64" s="2"/>
    </row>
    <row r="65" spans="1:20" ht="20.100000000000001" customHeight="1" thickBot="1" x14ac:dyDescent="0.35">
      <c r="A65" s="333" t="str">
        <f>IF('Initial Screens'!$D$28="Yes","Show","Hide")</f>
        <v>Hide</v>
      </c>
      <c r="B65" s="91" t="s">
        <v>332</v>
      </c>
      <c r="C65" s="103"/>
      <c r="D65" s="103"/>
      <c r="E65" s="104"/>
      <c r="F65" s="102">
        <f>IF('Initial Screens'!$D$28="Yes",ROUND(F62*(1-F64),0),0)</f>
        <v>0</v>
      </c>
      <c r="G65" s="334"/>
      <c r="H65" s="503" t="s">
        <v>8</v>
      </c>
      <c r="M65" s="16"/>
      <c r="N65" s="16"/>
      <c r="P65" s="13"/>
      <c r="Q65" s="17"/>
      <c r="R65" s="56"/>
      <c r="S65" s="2"/>
    </row>
    <row r="66" spans="1:20" ht="20.100000000000001" customHeight="1" thickBot="1" x14ac:dyDescent="0.35">
      <c r="F66" s="13"/>
      <c r="G66" s="52"/>
      <c r="H66" s="2"/>
      <c r="I66" s="56"/>
      <c r="T66" s="56"/>
    </row>
    <row r="67" spans="1:20" ht="20.100000000000001" customHeight="1" thickBot="1" x14ac:dyDescent="0.35">
      <c r="A67" s="302" t="str">
        <f>IF('Initial Screens'!$D$29="Yes","Show","Hide")</f>
        <v>Hide</v>
      </c>
      <c r="B67" s="901" t="s">
        <v>580</v>
      </c>
      <c r="C67" s="902"/>
      <c r="D67" s="902"/>
      <c r="E67" s="902"/>
      <c r="F67" s="903"/>
      <c r="G67" s="726"/>
      <c r="H67" s="19"/>
      <c r="I67" s="56"/>
      <c r="T67" s="56"/>
    </row>
    <row r="68" spans="1:20" ht="20.100000000000001" customHeight="1" thickBot="1" x14ac:dyDescent="0.35">
      <c r="A68" s="302" t="str">
        <f>IF('Initial Screens'!$D$29="Yes","Show","Hide")</f>
        <v>Hide</v>
      </c>
      <c r="B68" s="5" t="s">
        <v>12</v>
      </c>
      <c r="C68" s="6"/>
      <c r="D68" s="6"/>
      <c r="E68" s="6"/>
      <c r="F68" s="72"/>
      <c r="G68" s="52"/>
      <c r="H68" s="262" t="s">
        <v>2</v>
      </c>
      <c r="I68" s="56"/>
      <c r="T68" s="56"/>
    </row>
    <row r="69" spans="1:20" ht="20.100000000000001" customHeight="1" thickBot="1" x14ac:dyDescent="0.35">
      <c r="A69" s="302" t="str">
        <f>IF('Initial Screens'!$D$29="Yes","Show","Hide")</f>
        <v>Hide</v>
      </c>
      <c r="B69" s="7" t="s">
        <v>581</v>
      </c>
      <c r="C69" s="50"/>
      <c r="D69" s="50"/>
      <c r="E69" s="8"/>
      <c r="F69" s="160">
        <f>IF(A67="Show",ROUND(MIN(5,'Excel Output'!D22*'Excel Output'!D24/1000/300/2),1),0)</f>
        <v>0</v>
      </c>
      <c r="G69" s="708"/>
      <c r="H69" s="363" t="s">
        <v>229</v>
      </c>
      <c r="I69" s="56"/>
      <c r="T69" s="56"/>
    </row>
    <row r="70" spans="1:20" ht="20.100000000000001" customHeight="1" thickBot="1" x14ac:dyDescent="0.35">
      <c r="A70" s="302" t="str">
        <f>IF('Initial Screens'!$D$29="Yes","Show","Hide")</f>
        <v>Hide</v>
      </c>
      <c r="B70" s="7" t="s">
        <v>123</v>
      </c>
      <c r="C70" s="50"/>
      <c r="D70" s="50"/>
      <c r="E70" s="8"/>
      <c r="F70" s="166">
        <f ca="1">ROUND(Benchmarks!$D$16,2)</f>
        <v>175032.71</v>
      </c>
      <c r="G70" s="52"/>
      <c r="H70"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70" s="56"/>
      <c r="T70" s="56"/>
    </row>
    <row r="71" spans="1:20" ht="20.100000000000001" customHeight="1" thickBot="1" x14ac:dyDescent="0.35">
      <c r="A71" s="302" t="str">
        <f>IF('Initial Screens'!$D$29="Yes","Show","Hide")</f>
        <v>Hide</v>
      </c>
      <c r="B71" s="91" t="s">
        <v>331</v>
      </c>
      <c r="C71" s="103"/>
      <c r="D71" s="103"/>
      <c r="E71" s="104"/>
      <c r="F71" s="102">
        <f ca="1">ROUND(F69*F70,0)</f>
        <v>0</v>
      </c>
      <c r="G71" s="52"/>
      <c r="H71" s="503" t="s">
        <v>8</v>
      </c>
      <c r="I71" s="56"/>
      <c r="T71" s="56"/>
    </row>
    <row r="72" spans="1:20" ht="20.100000000000001" customHeight="1" thickBot="1" x14ac:dyDescent="0.35">
      <c r="A72" s="302" t="str">
        <f>IF('Initial Screens'!$D$29="Yes","Show","Hide")</f>
        <v>Hide</v>
      </c>
      <c r="B72" s="74" t="s">
        <v>13</v>
      </c>
      <c r="C72" s="75"/>
      <c r="D72" s="75"/>
      <c r="E72" s="67"/>
      <c r="F72" s="12"/>
      <c r="G72" s="52"/>
      <c r="H72" s="149"/>
      <c r="I72" s="73"/>
      <c r="T72" s="56"/>
    </row>
    <row r="73" spans="1:20" ht="20.100000000000001" customHeight="1" thickBot="1" x14ac:dyDescent="0.35">
      <c r="A73" s="302" t="str">
        <f>IF('Initial Screens'!$D$29="Yes","Show","Hide")</f>
        <v>Hide</v>
      </c>
      <c r="B73" s="7" t="s">
        <v>15</v>
      </c>
      <c r="C73" s="50"/>
      <c r="D73" s="50"/>
      <c r="F73" s="87">
        <f>IFERROR(ROUND(MAX(1,SUM(Compute!F105:F106)/Compute!F94)*75%,3),0)</f>
        <v>0</v>
      </c>
      <c r="G73" s="52"/>
      <c r="H73" s="385" t="s">
        <v>6</v>
      </c>
      <c r="I73" s="56"/>
      <c r="T73" s="56"/>
    </row>
    <row r="74" spans="1:20" ht="20.100000000000001" customHeight="1" thickBot="1" x14ac:dyDescent="0.35">
      <c r="A74" s="302" t="str">
        <f>IF('Initial Screens'!$D$29="Yes","Show","Hide")</f>
        <v>Hide</v>
      </c>
      <c r="B74" s="91" t="s">
        <v>332</v>
      </c>
      <c r="C74" s="103"/>
      <c r="D74" s="103"/>
      <c r="E74" s="104"/>
      <c r="F74" s="102">
        <f ca="1">ROUND(F71*(1-F73),0)</f>
        <v>0</v>
      </c>
      <c r="G74" s="52"/>
      <c r="H74" s="503" t="s">
        <v>8</v>
      </c>
      <c r="I74" s="56"/>
      <c r="T74" s="56"/>
    </row>
    <row r="75" spans="1:20" ht="20.100000000000001" customHeight="1" x14ac:dyDescent="0.3">
      <c r="F75" s="13"/>
      <c r="G75" s="52"/>
      <c r="H75" s="2"/>
      <c r="I75" s="56"/>
      <c r="T75" s="56"/>
    </row>
    <row r="76" spans="1:20" ht="20.100000000000001" customHeight="1" thickBot="1" x14ac:dyDescent="0.35">
      <c r="F76" s="13"/>
      <c r="G76" s="52"/>
      <c r="H76" s="2"/>
      <c r="I76" s="56"/>
      <c r="T76" s="56"/>
    </row>
    <row r="77" spans="1:20" ht="20.100000000000001" customHeight="1" thickBot="1" x14ac:dyDescent="0.35">
      <c r="A77" s="801" t="str">
        <f>IF(ISNUMBER(SEARCH("VCF",'Initial Screens'!$C$13)),"Show","Hide")</f>
        <v>Show</v>
      </c>
      <c r="B77" s="901" t="s">
        <v>778</v>
      </c>
      <c r="C77" s="902"/>
      <c r="D77" s="902"/>
      <c r="E77" s="902"/>
      <c r="F77" s="903"/>
      <c r="G77" s="726"/>
      <c r="H77" s="19"/>
      <c r="I77" s="56"/>
      <c r="T77" s="56"/>
    </row>
    <row r="78" spans="1:20" ht="20.100000000000001" customHeight="1" thickBot="1" x14ac:dyDescent="0.35">
      <c r="A78" s="784" t="str">
        <f>$A$77</f>
        <v>Show</v>
      </c>
      <c r="B78" s="5" t="s">
        <v>12</v>
      </c>
      <c r="C78" s="6"/>
      <c r="D78" s="6"/>
      <c r="E78" s="6"/>
      <c r="F78" s="72"/>
      <c r="G78" s="806"/>
      <c r="H78" s="262" t="s">
        <v>2</v>
      </c>
      <c r="I78" s="56"/>
      <c r="T78" s="56"/>
    </row>
    <row r="79" spans="1:20" ht="20.100000000000001" customHeight="1" thickBot="1" x14ac:dyDescent="0.35">
      <c r="A79" s="784" t="str">
        <f t="shared" ref="A79:A85" si="4">$A$77</f>
        <v>Show</v>
      </c>
      <c r="B79" s="7" t="s">
        <v>779</v>
      </c>
      <c r="C79" s="50"/>
      <c r="D79" s="50"/>
      <c r="E79" s="8"/>
      <c r="F79" s="548"/>
      <c r="G79" s="763"/>
      <c r="H79" s="363"/>
      <c r="I79" s="56"/>
      <c r="T79" s="56"/>
    </row>
    <row r="80" spans="1:20" ht="20.100000000000001" customHeight="1" thickBot="1" x14ac:dyDescent="0.35">
      <c r="A80" s="784" t="str">
        <f t="shared" si="4"/>
        <v>Show</v>
      </c>
      <c r="B80" s="7" t="s">
        <v>780</v>
      </c>
      <c r="C80" s="50"/>
      <c r="D80" s="50"/>
      <c r="E80" s="8"/>
      <c r="F80" s="160">
        <f>MIN(1300,ROUND(F79/2,0))</f>
        <v>0</v>
      </c>
      <c r="G80" s="806"/>
      <c r="H80" s="363"/>
      <c r="I80" s="56"/>
      <c r="T80" s="56"/>
    </row>
    <row r="81" spans="1:20" ht="20.100000000000001" customHeight="1" thickBot="1" x14ac:dyDescent="0.35">
      <c r="A81" s="784" t="str">
        <f t="shared" si="4"/>
        <v>Show</v>
      </c>
      <c r="B81" s="7" t="s">
        <v>781</v>
      </c>
      <c r="C81" s="50"/>
      <c r="D81" s="50"/>
      <c r="E81" s="8"/>
      <c r="F81" s="166">
        <f ca="1">ROUND(Benchmarks!$D$16*1.1,2)</f>
        <v>192535.98</v>
      </c>
      <c r="G81" s="806"/>
      <c r="H81" s="385" t="s">
        <v>6</v>
      </c>
      <c r="I81" s="56"/>
      <c r="T81" s="56"/>
    </row>
    <row r="82" spans="1:20" ht="20.100000000000001" customHeight="1" thickBot="1" x14ac:dyDescent="0.35">
      <c r="A82" s="784" t="str">
        <f t="shared" si="4"/>
        <v>Show</v>
      </c>
      <c r="B82" s="91" t="s">
        <v>331</v>
      </c>
      <c r="C82" s="103"/>
      <c r="D82" s="103"/>
      <c r="E82" s="104"/>
      <c r="F82" s="102">
        <f ca="1">F80*F81</f>
        <v>0</v>
      </c>
      <c r="G82" s="806"/>
      <c r="H82" s="503" t="s">
        <v>8</v>
      </c>
      <c r="I82" s="73"/>
      <c r="T82" s="56"/>
    </row>
    <row r="83" spans="1:20" ht="20.100000000000001" customHeight="1" thickBot="1" x14ac:dyDescent="0.35">
      <c r="A83" s="784" t="str">
        <f t="shared" si="4"/>
        <v>Show</v>
      </c>
      <c r="B83" s="74" t="s">
        <v>13</v>
      </c>
      <c r="C83" s="75"/>
      <c r="D83" s="75"/>
      <c r="E83" s="67"/>
      <c r="F83" s="12"/>
      <c r="G83" s="806"/>
      <c r="H83" s="149"/>
      <c r="I83" s="56"/>
      <c r="T83" s="56"/>
    </row>
    <row r="84" spans="1:20" ht="20.100000000000001" customHeight="1" thickBot="1" x14ac:dyDescent="0.35">
      <c r="A84" s="784" t="str">
        <f t="shared" si="4"/>
        <v>Show</v>
      </c>
      <c r="B84" s="7" t="s">
        <v>15</v>
      </c>
      <c r="C84" s="50"/>
      <c r="D84" s="50"/>
      <c r="F84" s="87">
        <f>ROUND(6%,3)</f>
        <v>0.06</v>
      </c>
      <c r="G84" s="806"/>
      <c r="H84" s="385" t="s">
        <v>6</v>
      </c>
      <c r="I84" s="56"/>
      <c r="T84" s="56"/>
    </row>
    <row r="85" spans="1:20" ht="20.100000000000001" customHeight="1" thickBot="1" x14ac:dyDescent="0.35">
      <c r="A85" s="784" t="str">
        <f t="shared" si="4"/>
        <v>Show</v>
      </c>
      <c r="B85" s="91" t="s">
        <v>332</v>
      </c>
      <c r="C85" s="103"/>
      <c r="D85" s="103"/>
      <c r="E85" s="104"/>
      <c r="F85" s="102">
        <f ca="1">ROUND(F82*(1-F84),0)</f>
        <v>0</v>
      </c>
      <c r="G85" s="806"/>
      <c r="H85" s="503" t="s">
        <v>8</v>
      </c>
      <c r="I85" s="56"/>
      <c r="T85" s="56"/>
    </row>
    <row r="86" spans="1:20" ht="20.100000000000001" customHeight="1" x14ac:dyDescent="0.3">
      <c r="A86" s="784"/>
      <c r="B86" s="810"/>
      <c r="C86" s="400"/>
      <c r="D86" s="400"/>
      <c r="E86" s="401"/>
      <c r="F86" s="813"/>
      <c r="G86" s="52"/>
      <c r="H86" s="635"/>
      <c r="I86" s="56"/>
      <c r="T86" s="56"/>
    </row>
    <row r="87" spans="1:20" ht="20.100000000000001" customHeight="1" x14ac:dyDescent="0.3">
      <c r="B87" s="810"/>
      <c r="C87" s="400"/>
      <c r="D87" s="400"/>
      <c r="E87" s="401"/>
      <c r="F87" s="811"/>
      <c r="G87" s="52"/>
      <c r="H87" s="635"/>
      <c r="I87" s="56"/>
      <c r="K87" s="961"/>
      <c r="L87" s="961"/>
      <c r="M87" s="962"/>
      <c r="N87" s="961"/>
      <c r="Q87" s="814"/>
      <c r="T87" s="56"/>
    </row>
    <row r="88" spans="1:20" ht="19.8" customHeight="1" x14ac:dyDescent="0.3">
      <c r="A88" s="829" t="str">
        <f>IF(AND('Initial Screens'!C13="VCF 9",'Initial Screens'!D21&gt;0%),"Show","hide")</f>
        <v>Show</v>
      </c>
      <c r="B88" s="95" t="s">
        <v>792</v>
      </c>
      <c r="C88" s="239" t="str">
        <f>IF(A88="Hide","No","Yes")</f>
        <v>Yes</v>
      </c>
      <c r="F88" s="13"/>
      <c r="G88" s="52"/>
      <c r="H88" s="2"/>
      <c r="I88" s="56"/>
      <c r="T88" s="56"/>
    </row>
    <row r="89" spans="1:20" ht="20.100000000000001" customHeight="1" thickBot="1" x14ac:dyDescent="0.35">
      <c r="B89" s="95"/>
      <c r="C89" s="812"/>
      <c r="F89" s="13"/>
      <c r="G89" s="52"/>
      <c r="H89" s="2"/>
      <c r="I89" s="56"/>
      <c r="Q89" s="16" t="s">
        <v>798</v>
      </c>
      <c r="R89" s="13" t="s">
        <v>799</v>
      </c>
      <c r="T89" s="56"/>
    </row>
    <row r="90" spans="1:20" ht="20.100000000000001" customHeight="1" thickBot="1" x14ac:dyDescent="0.35">
      <c r="A90" s="801" t="str">
        <f>IF(C88="No","Hide","Show")</f>
        <v>Show</v>
      </c>
      <c r="B90" s="901" t="s">
        <v>792</v>
      </c>
      <c r="C90" s="902"/>
      <c r="D90" s="902"/>
      <c r="E90" s="902"/>
      <c r="F90" s="903"/>
      <c r="G90" s="827"/>
      <c r="H90" s="19"/>
      <c r="I90" s="56"/>
      <c r="P90" s="16" t="s">
        <v>797</v>
      </c>
      <c r="Q90" s="16">
        <v>15</v>
      </c>
      <c r="R90" s="13">
        <v>15</v>
      </c>
      <c r="T90" s="56"/>
    </row>
    <row r="91" spans="1:20" ht="20.100000000000001" customHeight="1" thickBot="1" x14ac:dyDescent="0.35">
      <c r="A91" s="801" t="str">
        <f t="shared" ref="A91:A99" si="5">$A$90</f>
        <v>Show</v>
      </c>
      <c r="B91" s="5" t="s">
        <v>12</v>
      </c>
      <c r="C91" s="6"/>
      <c r="D91" s="6"/>
      <c r="E91" s="6"/>
      <c r="F91" s="72"/>
      <c r="G91" s="828"/>
      <c r="H91" s="262" t="s">
        <v>2</v>
      </c>
      <c r="I91" s="56"/>
      <c r="Q91" s="16">
        <v>120000</v>
      </c>
      <c r="R91" s="13">
        <f>Q91</f>
        <v>120000</v>
      </c>
      <c r="T91" s="56"/>
    </row>
    <row r="92" spans="1:20" ht="20.100000000000001" customHeight="1" thickBot="1" x14ac:dyDescent="0.35">
      <c r="A92" s="801" t="str">
        <f t="shared" si="5"/>
        <v>Show</v>
      </c>
      <c r="B92" s="7" t="s">
        <v>793</v>
      </c>
      <c r="C92" s="50"/>
      <c r="D92" s="50"/>
      <c r="E92" s="8"/>
      <c r="F92" s="160">
        <f>IF(A92="Show",ROUND(MIN(5,'Excel Output'!$D$22/3000),1),0)</f>
        <v>1.7</v>
      </c>
      <c r="G92" s="739"/>
      <c r="H92" s="385" t="s">
        <v>803</v>
      </c>
      <c r="I92" s="56"/>
      <c r="P92" s="16" t="s">
        <v>800</v>
      </c>
      <c r="R92" s="826">
        <v>0.2</v>
      </c>
      <c r="T92" s="56"/>
    </row>
    <row r="93" spans="1:20" ht="20.100000000000001" customHeight="1" thickBot="1" x14ac:dyDescent="0.35">
      <c r="A93" s="801" t="str">
        <f t="shared" si="5"/>
        <v>Show</v>
      </c>
      <c r="B93" s="7" t="s">
        <v>794</v>
      </c>
      <c r="C93" s="50"/>
      <c r="D93" s="50"/>
      <c r="E93" s="8"/>
      <c r="F93" s="160">
        <f>IF(A93="Show",1,0)</f>
        <v>1</v>
      </c>
      <c r="H93" s="385" t="s">
        <v>795</v>
      </c>
      <c r="I93" s="56"/>
      <c r="Q93" s="16">
        <f>Q90*Q91</f>
        <v>1800000</v>
      </c>
      <c r="R93" s="13">
        <f>R90*R91*(1-R92)</f>
        <v>1440000</v>
      </c>
      <c r="S93" s="17">
        <f>Q93-R93</f>
        <v>360000</v>
      </c>
      <c r="T93" s="56"/>
    </row>
    <row r="94" spans="1:20" ht="20.100000000000001" customHeight="1" thickBot="1" x14ac:dyDescent="0.35">
      <c r="A94" s="801" t="str">
        <f t="shared" si="5"/>
        <v>Show</v>
      </c>
      <c r="B94" s="7" t="s">
        <v>237</v>
      </c>
      <c r="C94" s="50"/>
      <c r="D94" s="50"/>
      <c r="E94" s="8"/>
      <c r="F94" s="742">
        <f ca="1">ROUND(Benchmarks!$D$16,2)</f>
        <v>175032.71</v>
      </c>
      <c r="G94" s="52"/>
      <c r="H94"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94" s="56"/>
      <c r="P94" s="16" t="s">
        <v>801</v>
      </c>
      <c r="Q94" s="16">
        <v>1</v>
      </c>
      <c r="R94" s="826">
        <v>0.5</v>
      </c>
      <c r="T94" s="56"/>
    </row>
    <row r="95" spans="1:20" ht="20.100000000000001" customHeight="1" thickBot="1" x14ac:dyDescent="0.35">
      <c r="A95" s="801" t="str">
        <f t="shared" si="5"/>
        <v>Show</v>
      </c>
      <c r="B95" s="91" t="s">
        <v>331</v>
      </c>
      <c r="C95" s="103"/>
      <c r="D95" s="103"/>
      <c r="E95" s="104"/>
      <c r="F95" s="102">
        <f ca="1">F92*F94*(1+F93*52/2080)</f>
        <v>304994.49717499991</v>
      </c>
      <c r="G95" s="52"/>
      <c r="H95" s="503" t="s">
        <v>8</v>
      </c>
      <c r="I95" s="56"/>
      <c r="Q95" s="16">
        <f>Q94*(Q91/2080)*52*Q90</f>
        <v>45000</v>
      </c>
      <c r="R95" s="13">
        <f>R94*(R91/2080)*52*R90</f>
        <v>22500</v>
      </c>
      <c r="S95" s="17">
        <f>Q95-R95</f>
        <v>22500</v>
      </c>
      <c r="T95" s="56"/>
    </row>
    <row r="96" spans="1:20" ht="20.100000000000001" customHeight="1" thickBot="1" x14ac:dyDescent="0.35">
      <c r="A96" s="801" t="str">
        <f t="shared" si="5"/>
        <v>Show</v>
      </c>
      <c r="B96" s="74" t="s">
        <v>13</v>
      </c>
      <c r="C96" s="75"/>
      <c r="D96" s="75"/>
      <c r="E96" s="67"/>
      <c r="F96" s="12"/>
      <c r="G96" s="52"/>
      <c r="H96" s="149"/>
      <c r="I96" s="73"/>
      <c r="T96" s="56"/>
    </row>
    <row r="97" spans="1:20" ht="20.100000000000001" customHeight="1" thickBot="1" x14ac:dyDescent="0.35">
      <c r="A97" s="801" t="str">
        <f t="shared" si="5"/>
        <v>Show</v>
      </c>
      <c r="B97" s="7" t="s">
        <v>796</v>
      </c>
      <c r="C97" s="75"/>
      <c r="D97" s="75"/>
      <c r="E97" s="67"/>
      <c r="F97" s="87">
        <f>MIN(20%,ROUND(20%*Misc!$E$136,3))</f>
        <v>0.2</v>
      </c>
      <c r="G97" s="52"/>
      <c r="H97" s="385" t="s">
        <v>804</v>
      </c>
      <c r="I97" s="73"/>
      <c r="T97" s="56"/>
    </row>
    <row r="98" spans="1:20" ht="20.100000000000001" customHeight="1" thickBot="1" x14ac:dyDescent="0.35">
      <c r="A98" s="801" t="str">
        <f t="shared" si="5"/>
        <v>Show</v>
      </c>
      <c r="B98" s="14" t="s">
        <v>802</v>
      </c>
      <c r="C98" s="51"/>
      <c r="D98" s="51"/>
      <c r="E98" s="15"/>
      <c r="F98" s="87">
        <f>MIN(50%,ROUND(50%*Misc!$E$136,3))</f>
        <v>0.5</v>
      </c>
      <c r="G98" s="52"/>
      <c r="H98" s="385" t="s">
        <v>804</v>
      </c>
      <c r="I98" s="56"/>
      <c r="T98" s="56"/>
    </row>
    <row r="99" spans="1:20" ht="20.100000000000001" customHeight="1" thickBot="1" x14ac:dyDescent="0.35">
      <c r="A99" s="801" t="str">
        <f t="shared" si="5"/>
        <v>Show</v>
      </c>
      <c r="B99" s="91" t="s">
        <v>332</v>
      </c>
      <c r="C99" s="103"/>
      <c r="D99" s="103"/>
      <c r="E99" s="104"/>
      <c r="F99" s="102">
        <f ca="1">F92*F94*(1*(1-F97)+F93*52*1/2080*(1-F98))</f>
        <v>241763.93068749996</v>
      </c>
      <c r="G99" s="52"/>
      <c r="H99" s="503" t="s">
        <v>8</v>
      </c>
      <c r="I99" s="56"/>
      <c r="T99" s="56"/>
    </row>
    <row r="100" spans="1:20" ht="20.100000000000001" customHeight="1" x14ac:dyDescent="0.3">
      <c r="A100" s="738"/>
      <c r="B100" s="810"/>
      <c r="C100" s="400"/>
      <c r="D100" s="400"/>
      <c r="E100" s="401"/>
      <c r="F100" s="813"/>
      <c r="G100" s="52"/>
      <c r="H100" s="635"/>
      <c r="I100" s="56"/>
      <c r="T100" s="56"/>
    </row>
    <row r="101" spans="1:20" ht="19.8" customHeight="1" x14ac:dyDescent="0.3">
      <c r="A101" s="807"/>
      <c r="B101" s="95" t="s">
        <v>35</v>
      </c>
      <c r="C101" s="239" t="s">
        <v>288</v>
      </c>
      <c r="F101" s="13"/>
      <c r="G101" s="52"/>
      <c r="H101" s="2"/>
      <c r="I101" s="56"/>
      <c r="T101" s="56"/>
    </row>
    <row r="102" spans="1:20" ht="20.100000000000001" customHeight="1" thickBot="1" x14ac:dyDescent="0.35">
      <c r="B102" s="95"/>
      <c r="C102" s="812"/>
      <c r="F102" s="13"/>
      <c r="G102" s="52"/>
      <c r="H102" s="2"/>
      <c r="I102" s="56"/>
      <c r="T102" s="56"/>
    </row>
    <row r="103" spans="1:20" ht="20.100000000000001" customHeight="1" thickBot="1" x14ac:dyDescent="0.35">
      <c r="A103" s="801" t="str">
        <f>IF(C101="No","Hide","Show")</f>
        <v>Show</v>
      </c>
      <c r="B103" s="901" t="s">
        <v>35</v>
      </c>
      <c r="C103" s="902"/>
      <c r="D103" s="902"/>
      <c r="E103" s="902"/>
      <c r="F103" s="903"/>
      <c r="G103" s="61"/>
      <c r="H103" s="19"/>
      <c r="I103" s="56"/>
      <c r="T103" s="56"/>
    </row>
    <row r="104" spans="1:20" ht="20.100000000000001" customHeight="1" thickBot="1" x14ac:dyDescent="0.35">
      <c r="A104" s="801" t="str">
        <f>$A$103</f>
        <v>Show</v>
      </c>
      <c r="B104" s="5" t="s">
        <v>12</v>
      </c>
      <c r="C104" s="6"/>
      <c r="D104" s="6"/>
      <c r="E104" s="6"/>
      <c r="F104" s="72"/>
      <c r="G104" s="52"/>
      <c r="H104" s="262" t="s">
        <v>2</v>
      </c>
      <c r="I104" s="56"/>
      <c r="M104" s="2" t="s">
        <v>827</v>
      </c>
      <c r="T104" s="56"/>
    </row>
    <row r="105" spans="1:20" ht="20.100000000000001" customHeight="1" thickBot="1" x14ac:dyDescent="0.35">
      <c r="A105" s="801" t="str">
        <f t="shared" ref="A105:A113" si="6">$A$103</f>
        <v>Show</v>
      </c>
      <c r="B105" s="7" t="s">
        <v>118</v>
      </c>
      <c r="C105" s="50"/>
      <c r="D105" s="50"/>
      <c r="E105" s="8"/>
      <c r="F105" s="88">
        <f>IF(A103="Show",ROUND((20%*VMs)/52,0),0)</f>
        <v>19</v>
      </c>
      <c r="G105" s="763"/>
      <c r="H105" s="385" t="s">
        <v>817</v>
      </c>
      <c r="I105" s="56"/>
      <c r="M105" t="s">
        <v>828</v>
      </c>
      <c r="N105" s="847">
        <v>15</v>
      </c>
      <c r="T105" s="56"/>
    </row>
    <row r="106" spans="1:20" ht="20.100000000000001" customHeight="1" thickBot="1" x14ac:dyDescent="0.35">
      <c r="A106" s="801" t="str">
        <f t="shared" si="6"/>
        <v>Show</v>
      </c>
      <c r="B106" s="7" t="s">
        <v>119</v>
      </c>
      <c r="C106" s="50"/>
      <c r="D106" s="50"/>
      <c r="E106" s="8"/>
      <c r="F106" s="89">
        <f>ROUND(F105*52,0)</f>
        <v>988</v>
      </c>
      <c r="H106" s="503" t="s">
        <v>8</v>
      </c>
      <c r="I106" s="56"/>
      <c r="M106" t="s">
        <v>829</v>
      </c>
      <c r="N106" s="847">
        <v>61</v>
      </c>
      <c r="T106" s="56"/>
    </row>
    <row r="107" spans="1:20" ht="20.100000000000001" customHeight="1" thickBot="1" x14ac:dyDescent="0.35">
      <c r="A107" s="801" t="str">
        <f t="shared" si="6"/>
        <v>Show</v>
      </c>
      <c r="B107" s="7" t="s">
        <v>120</v>
      </c>
      <c r="C107" s="50"/>
      <c r="D107" s="50"/>
      <c r="E107" s="8"/>
      <c r="F107" s="88">
        <v>4.8</v>
      </c>
      <c r="G107" s="806"/>
      <c r="H107" s="385" t="s">
        <v>817</v>
      </c>
      <c r="I107" s="56"/>
      <c r="M107" t="s">
        <v>830</v>
      </c>
      <c r="N107" s="2">
        <f>N105/N106</f>
        <v>0.24590163934426229</v>
      </c>
      <c r="T107" s="56"/>
    </row>
    <row r="108" spans="1:20" ht="20.100000000000001" customHeight="1" thickBot="1" x14ac:dyDescent="0.35">
      <c r="A108" s="801" t="str">
        <f t="shared" si="6"/>
        <v>Show</v>
      </c>
      <c r="B108" s="7" t="s">
        <v>121</v>
      </c>
      <c r="C108" s="50"/>
      <c r="D108" s="50"/>
      <c r="E108" s="8"/>
      <c r="F108" s="118">
        <v>0.24</v>
      </c>
      <c r="G108" s="806"/>
      <c r="H108" s="385" t="s">
        <v>817</v>
      </c>
      <c r="I108" s="56"/>
      <c r="T108" s="56"/>
    </row>
    <row r="109" spans="1:20" ht="20.100000000000001" customHeight="1" thickBot="1" x14ac:dyDescent="0.35">
      <c r="A109" s="801" t="str">
        <f t="shared" si="6"/>
        <v>Show</v>
      </c>
      <c r="B109" s="7" t="s">
        <v>237</v>
      </c>
      <c r="C109" s="50"/>
      <c r="D109" s="50"/>
      <c r="E109" s="8"/>
      <c r="F109" s="167">
        <f ca="1">ROUND(Benchmarks!D10,2)</f>
        <v>97.5</v>
      </c>
      <c r="G109" s="52"/>
      <c r="H109"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109" s="56"/>
      <c r="M109" s="2" t="s">
        <v>831</v>
      </c>
      <c r="N109" s="816">
        <v>0.1</v>
      </c>
      <c r="O109" s="16">
        <f>N109*$G$102</f>
        <v>0</v>
      </c>
      <c r="P109" s="2">
        <v>1</v>
      </c>
      <c r="Q109" s="16">
        <v>2</v>
      </c>
      <c r="T109" s="56"/>
    </row>
    <row r="110" spans="1:20" ht="20.100000000000001" customHeight="1" thickBot="1" x14ac:dyDescent="0.35">
      <c r="A110" s="801" t="str">
        <f t="shared" si="6"/>
        <v>Show</v>
      </c>
      <c r="B110" s="91" t="s">
        <v>331</v>
      </c>
      <c r="C110" s="103"/>
      <c r="D110" s="103"/>
      <c r="E110" s="104"/>
      <c r="F110" s="102">
        <f ca="1">ROUND(F106*F107*F108*F109,0)</f>
        <v>110972</v>
      </c>
      <c r="G110" s="52"/>
      <c r="H110" s="503" t="s">
        <v>8</v>
      </c>
      <c r="I110" s="56"/>
      <c r="M110" s="2" t="s">
        <v>832</v>
      </c>
      <c r="N110" s="816">
        <v>0.4</v>
      </c>
      <c r="O110" s="16">
        <f>N110*$G$102</f>
        <v>0</v>
      </c>
      <c r="P110" s="2">
        <v>3</v>
      </c>
      <c r="Q110" s="16">
        <v>4</v>
      </c>
      <c r="T110" s="56"/>
    </row>
    <row r="111" spans="1:20" ht="20.100000000000001" customHeight="1" thickBot="1" x14ac:dyDescent="0.35">
      <c r="A111" s="801" t="str">
        <f t="shared" si="6"/>
        <v>Show</v>
      </c>
      <c r="B111" s="74" t="s">
        <v>13</v>
      </c>
      <c r="C111" s="75"/>
      <c r="D111" s="75"/>
      <c r="E111" s="67"/>
      <c r="F111" s="12"/>
      <c r="G111" s="52"/>
      <c r="H111" s="149"/>
      <c r="I111" s="73"/>
      <c r="M111" s="2" t="s">
        <v>833</v>
      </c>
      <c r="N111" s="816">
        <v>0.5</v>
      </c>
      <c r="O111" s="16">
        <f>N111*$G$102</f>
        <v>0</v>
      </c>
      <c r="P111" s="2">
        <v>7</v>
      </c>
      <c r="Q111" s="16">
        <v>1.5</v>
      </c>
      <c r="T111" s="56"/>
    </row>
    <row r="112" spans="1:20" ht="20.100000000000001" customHeight="1" thickBot="1" x14ac:dyDescent="0.35">
      <c r="A112" s="801" t="str">
        <f t="shared" si="6"/>
        <v>Show</v>
      </c>
      <c r="B112" s="846" t="str">
        <f>IF('Initial Screens'!C13="VCF 9","Anticipated reduction in infrastructure related SR tickets ","Anticipated time reduction")</f>
        <v xml:space="preserve">Anticipated reduction in infrastructure related SR tickets </v>
      </c>
      <c r="C112" s="51"/>
      <c r="D112" s="51"/>
      <c r="E112" s="15"/>
      <c r="F112" s="87">
        <f>IF('Initial Screens'!C13="VCF 9", MIN(60%,ROUND(60%*Misc!E137,3)),ROUND(40%,3))</f>
        <v>0.6</v>
      </c>
      <c r="G112" s="52"/>
      <c r="H112" s="385" t="s">
        <v>817</v>
      </c>
      <c r="I112" s="56"/>
      <c r="T112" s="56"/>
    </row>
    <row r="113" spans="1:20" ht="20.100000000000001" customHeight="1" thickBot="1" x14ac:dyDescent="0.35">
      <c r="A113" s="801" t="str">
        <f t="shared" si="6"/>
        <v>Show</v>
      </c>
      <c r="B113" s="91" t="s">
        <v>332</v>
      </c>
      <c r="C113" s="103"/>
      <c r="D113" s="103"/>
      <c r="E113" s="104"/>
      <c r="F113" s="102">
        <f ca="1">ROUND(F110*(1-F112),0)</f>
        <v>44389</v>
      </c>
      <c r="G113" s="52"/>
      <c r="H113" s="503" t="s">
        <v>8</v>
      </c>
      <c r="I113" s="56"/>
      <c r="O113" s="16" t="e">
        <f>SUMPRODUCT(O109:O111,P109:P111)/SUM(O109:O111)</f>
        <v>#DIV/0!</v>
      </c>
      <c r="T113" s="56"/>
    </row>
    <row r="114" spans="1:20" ht="20.100000000000001" customHeight="1" x14ac:dyDescent="0.3">
      <c r="A114" s="738"/>
      <c r="B114" s="810"/>
      <c r="C114" s="400"/>
      <c r="D114" s="400"/>
      <c r="E114" s="401"/>
      <c r="F114" s="813"/>
      <c r="G114" s="52"/>
      <c r="H114" s="635"/>
      <c r="I114" s="56"/>
      <c r="T114" s="56"/>
    </row>
    <row r="115" spans="1:20" s="95" customFormat="1" ht="20.100000000000001" customHeight="1" x14ac:dyDescent="0.3">
      <c r="A115" s="2"/>
      <c r="B115" s="95" t="s">
        <v>591</v>
      </c>
      <c r="C115" s="239" t="s">
        <v>463</v>
      </c>
      <c r="D115" s="2"/>
      <c r="E115" s="56"/>
      <c r="F115" s="56"/>
      <c r="G115" s="333"/>
      <c r="H115" s="56"/>
      <c r="M115" s="99"/>
      <c r="N115" s="99"/>
      <c r="O115" s="99"/>
      <c r="P115" s="96"/>
      <c r="Q115" s="100"/>
      <c r="R115" s="195"/>
    </row>
    <row r="116" spans="1:20" s="95" customFormat="1" ht="20.100000000000001" customHeight="1" thickBot="1" x14ac:dyDescent="0.35">
      <c r="A116" s="2"/>
      <c r="B116" s="2"/>
      <c r="C116" s="2"/>
      <c r="D116" s="2"/>
      <c r="E116" s="2"/>
      <c r="F116"/>
      <c r="G116" s="333"/>
      <c r="H116" s="2"/>
      <c r="M116" s="99"/>
      <c r="N116" s="99"/>
      <c r="O116" s="99"/>
      <c r="P116" s="96"/>
      <c r="Q116" s="100"/>
      <c r="R116" s="195"/>
    </row>
    <row r="117" spans="1:20" ht="20.100000000000001" customHeight="1" thickBot="1" x14ac:dyDescent="0.35">
      <c r="A117" s="726"/>
      <c r="B117" s="901" t="s">
        <v>586</v>
      </c>
      <c r="C117" s="902"/>
      <c r="D117" s="902"/>
      <c r="E117" s="902"/>
      <c r="F117" s="903"/>
      <c r="H117" s="19"/>
      <c r="I117" s="56"/>
      <c r="T117" s="56"/>
    </row>
    <row r="118" spans="1:20" ht="20.100000000000001" customHeight="1" thickBot="1" x14ac:dyDescent="0.35">
      <c r="A118" s="726"/>
      <c r="B118" s="5" t="s">
        <v>12</v>
      </c>
      <c r="C118" s="6"/>
      <c r="D118" s="6"/>
      <c r="E118" s="6"/>
      <c r="F118" s="72"/>
      <c r="G118" s="52"/>
      <c r="H118" s="262" t="s">
        <v>2</v>
      </c>
      <c r="I118" s="56"/>
      <c r="T118" s="56"/>
    </row>
    <row r="119" spans="1:20" ht="20.100000000000001" customHeight="1" thickBot="1" x14ac:dyDescent="0.35">
      <c r="A119" s="726"/>
      <c r="B119" s="541" t="s">
        <v>587</v>
      </c>
      <c r="C119" s="50"/>
      <c r="D119" s="50"/>
      <c r="E119" s="8"/>
      <c r="F119" s="548"/>
      <c r="G119" s="52"/>
      <c r="H119" s="399"/>
      <c r="I119" s="56"/>
      <c r="T119" s="56"/>
    </row>
    <row r="120" spans="1:20" ht="20.100000000000001" customHeight="1" thickBot="1" x14ac:dyDescent="0.35">
      <c r="A120" s="726"/>
      <c r="B120" s="541" t="s">
        <v>588</v>
      </c>
      <c r="C120" s="50"/>
      <c r="D120" s="50"/>
      <c r="E120" s="8"/>
      <c r="F120" s="549"/>
      <c r="G120" s="52"/>
      <c r="H120" s="546"/>
      <c r="I120" s="56"/>
      <c r="T120" s="56"/>
    </row>
    <row r="121" spans="1:20" ht="20.100000000000001" customHeight="1" thickBot="1" x14ac:dyDescent="0.35">
      <c r="A121" s="726"/>
      <c r="B121" s="91" t="s">
        <v>331</v>
      </c>
      <c r="C121" s="103"/>
      <c r="D121" s="103"/>
      <c r="E121" s="104"/>
      <c r="F121" s="102">
        <f>ROUND(F119*F120,0)</f>
        <v>0</v>
      </c>
      <c r="G121" s="52"/>
      <c r="H121" s="503" t="s">
        <v>8</v>
      </c>
      <c r="I121" s="56"/>
      <c r="T121" s="56"/>
    </row>
    <row r="122" spans="1:20" ht="20.100000000000001" customHeight="1" thickBot="1" x14ac:dyDescent="0.35">
      <c r="A122" s="726"/>
      <c r="B122" s="74" t="s">
        <v>13</v>
      </c>
      <c r="C122" s="75"/>
      <c r="D122" s="75"/>
      <c r="E122" s="67"/>
      <c r="F122" s="12"/>
      <c r="G122" s="52"/>
      <c r="H122" s="149"/>
      <c r="I122" s="73"/>
      <c r="T122" s="56"/>
    </row>
    <row r="123" spans="1:20" ht="20.100000000000001" customHeight="1" thickBot="1" x14ac:dyDescent="0.35">
      <c r="A123" s="726"/>
      <c r="B123" s="7" t="s">
        <v>15</v>
      </c>
      <c r="C123" s="50"/>
      <c r="D123" s="50"/>
      <c r="F123" s="544"/>
      <c r="G123" s="52"/>
      <c r="H123" s="547"/>
      <c r="I123" s="56"/>
      <c r="T123" s="56"/>
    </row>
    <row r="124" spans="1:20" ht="20.100000000000001" customHeight="1" thickBot="1" x14ac:dyDescent="0.35">
      <c r="A124" s="726"/>
      <c r="B124" s="91" t="s">
        <v>332</v>
      </c>
      <c r="C124" s="103"/>
      <c r="D124" s="103"/>
      <c r="E124" s="104"/>
      <c r="F124" s="102">
        <f>ROUND(F121*(1-F123),0)</f>
        <v>0</v>
      </c>
      <c r="G124" s="52"/>
      <c r="H124" s="503" t="s">
        <v>8</v>
      </c>
      <c r="I124" s="56"/>
      <c r="T124" s="56"/>
    </row>
    <row r="125" spans="1:20" ht="20.100000000000001" customHeight="1" thickBot="1" x14ac:dyDescent="0.35">
      <c r="F125" s="13"/>
      <c r="G125" s="52"/>
      <c r="H125" s="2"/>
      <c r="I125" s="56"/>
      <c r="T125" s="56"/>
    </row>
    <row r="126" spans="1:20" ht="20.100000000000001" customHeight="1" thickBot="1" x14ac:dyDescent="0.35">
      <c r="B126" s="901" t="s">
        <v>228</v>
      </c>
      <c r="C126" s="902"/>
      <c r="D126" s="902"/>
      <c r="E126" s="902"/>
      <c r="F126" s="903"/>
      <c r="G126" s="52"/>
      <c r="H126" s="19"/>
      <c r="I126" s="56"/>
      <c r="T126" s="56"/>
    </row>
    <row r="127" spans="1:20" ht="20.100000000000001" customHeight="1" thickBot="1" x14ac:dyDescent="0.35">
      <c r="B127" s="91" t="str">
        <f>FIXED(AnalysisTerm,0)&amp;"-Year Current State Cost"</f>
        <v>10-Year Current State Cost</v>
      </c>
      <c r="C127" s="103"/>
      <c r="D127" s="103"/>
      <c r="E127" s="104"/>
      <c r="F127" s="147">
        <f ca="1">(F110+F12+F30+F21+F39+F51+F62+F71+F121+F82+F95)*AnalysisTerm</f>
        <v>44760534.971749999</v>
      </c>
      <c r="G127" s="809"/>
      <c r="H127" s="503" t="s">
        <v>8</v>
      </c>
    </row>
    <row r="128" spans="1:20" ht="20.100000000000001" customHeight="1" thickBot="1" x14ac:dyDescent="0.35">
      <c r="B128" s="91" t="str">
        <f>FIXED(AnalysisTerm,0)&amp;"-Year Future State Cost"</f>
        <v>10-Year Future State Cost</v>
      </c>
      <c r="C128" s="103"/>
      <c r="D128" s="103"/>
      <c r="E128" s="104"/>
      <c r="F128" s="147">
        <f ca="1">(F113+F15+F33+F24+F42+F56+F65+F74+F124+F85+F99)*AnalysisTerm</f>
        <v>23764409.306875002</v>
      </c>
      <c r="G128" s="809"/>
      <c r="H128" s="503" t="s">
        <v>8</v>
      </c>
    </row>
    <row r="129" spans="6:7" x14ac:dyDescent="0.3">
      <c r="G129" s="52"/>
    </row>
    <row r="130" spans="6:7" x14ac:dyDescent="0.3">
      <c r="F130" s="973"/>
      <c r="G130" s="52"/>
    </row>
    <row r="131" spans="6:7" x14ac:dyDescent="0.3">
      <c r="G131" s="52"/>
    </row>
    <row r="132" spans="6:7" x14ac:dyDescent="0.3">
      <c r="G132" s="52"/>
    </row>
    <row r="133" spans="6:7" x14ac:dyDescent="0.3">
      <c r="G133" s="52"/>
    </row>
    <row r="134" spans="6:7" x14ac:dyDescent="0.3">
      <c r="F134" s="973"/>
      <c r="G134" s="52"/>
    </row>
    <row r="135" spans="6:7" x14ac:dyDescent="0.3">
      <c r="G135" s="52"/>
    </row>
    <row r="136" spans="6:7" x14ac:dyDescent="0.3">
      <c r="G136" s="52"/>
    </row>
    <row r="137" spans="6:7" x14ac:dyDescent="0.3">
      <c r="G137" s="52"/>
    </row>
    <row r="138" spans="6:7" x14ac:dyDescent="0.3">
      <c r="G138" s="52"/>
    </row>
    <row r="139" spans="6:7" x14ac:dyDescent="0.3">
      <c r="G139" s="52"/>
    </row>
    <row r="140" spans="6:7" x14ac:dyDescent="0.3">
      <c r="G140" s="52"/>
    </row>
    <row r="141" spans="6:7" x14ac:dyDescent="0.3">
      <c r="G141" s="52"/>
    </row>
    <row r="142" spans="6:7" x14ac:dyDescent="0.3">
      <c r="G142" s="52"/>
    </row>
    <row r="143" spans="6:7" x14ac:dyDescent="0.3">
      <c r="G143" s="52"/>
    </row>
    <row r="144" spans="6:7" x14ac:dyDescent="0.3">
      <c r="G144" s="52"/>
    </row>
    <row r="145" spans="7:7" x14ac:dyDescent="0.3">
      <c r="G145" s="52"/>
    </row>
    <row r="146" spans="7:7" x14ac:dyDescent="0.3">
      <c r="G146" s="52"/>
    </row>
    <row r="147" spans="7:7" x14ac:dyDescent="0.3">
      <c r="G147" s="52"/>
    </row>
    <row r="148" spans="7:7" x14ac:dyDescent="0.3">
      <c r="G148" s="52"/>
    </row>
    <row r="149" spans="7:7" x14ac:dyDescent="0.3">
      <c r="G149" s="52"/>
    </row>
    <row r="150" spans="7:7" x14ac:dyDescent="0.3">
      <c r="G150" s="52"/>
    </row>
    <row r="151" spans="7:7" x14ac:dyDescent="0.3">
      <c r="G151" s="52"/>
    </row>
    <row r="152" spans="7:7" x14ac:dyDescent="0.3">
      <c r="G152" s="52"/>
    </row>
    <row r="153" spans="7:7" x14ac:dyDescent="0.3">
      <c r="G153" s="52"/>
    </row>
    <row r="154" spans="7:7" x14ac:dyDescent="0.3">
      <c r="G154" s="52"/>
    </row>
    <row r="155" spans="7:7" x14ac:dyDescent="0.3">
      <c r="G155" s="52"/>
    </row>
    <row r="156" spans="7:7" x14ac:dyDescent="0.3">
      <c r="G156" s="52"/>
    </row>
    <row r="157" spans="7:7" x14ac:dyDescent="0.3">
      <c r="G157" s="52"/>
    </row>
    <row r="158" spans="7:7" x14ac:dyDescent="0.3">
      <c r="G158" s="52"/>
    </row>
    <row r="159" spans="7:7" x14ac:dyDescent="0.3">
      <c r="G159" s="52"/>
    </row>
    <row r="160" spans="7:7" x14ac:dyDescent="0.3">
      <c r="G160" s="52"/>
    </row>
    <row r="161" spans="7:7" x14ac:dyDescent="0.3">
      <c r="G161" s="52"/>
    </row>
    <row r="162" spans="7:7" x14ac:dyDescent="0.3">
      <c r="G162" s="52"/>
    </row>
    <row r="163" spans="7:7" x14ac:dyDescent="0.3">
      <c r="G163" s="52"/>
    </row>
    <row r="164" spans="7:7" x14ac:dyDescent="0.3">
      <c r="G164" s="52"/>
    </row>
    <row r="165" spans="7:7" x14ac:dyDescent="0.3">
      <c r="G165" s="52"/>
    </row>
    <row r="166" spans="7:7" x14ac:dyDescent="0.3">
      <c r="G166" s="52"/>
    </row>
    <row r="167" spans="7:7" x14ac:dyDescent="0.3">
      <c r="G167" s="52"/>
    </row>
    <row r="168" spans="7:7" x14ac:dyDescent="0.3">
      <c r="G168" s="52"/>
    </row>
    <row r="169" spans="7:7" x14ac:dyDescent="0.3">
      <c r="G169" s="52"/>
    </row>
    <row r="170" spans="7:7" x14ac:dyDescent="0.3">
      <c r="G170" s="52"/>
    </row>
    <row r="171" spans="7:7" x14ac:dyDescent="0.3">
      <c r="G171" s="52"/>
    </row>
    <row r="172" spans="7:7" x14ac:dyDescent="0.3">
      <c r="G172" s="52"/>
    </row>
    <row r="173" spans="7:7" x14ac:dyDescent="0.3">
      <c r="G173" s="52"/>
    </row>
    <row r="216" spans="1:21" s="56" customFormat="1" ht="10.050000000000001" customHeight="1" x14ac:dyDescent="0.3">
      <c r="A216" s="2"/>
      <c r="B216" s="2"/>
      <c r="C216" s="2"/>
      <c r="D216" s="2"/>
      <c r="E216" s="2"/>
      <c r="F216" s="16"/>
      <c r="G216" s="13"/>
      <c r="H216" s="17"/>
      <c r="I216" s="2"/>
      <c r="J216" s="2"/>
      <c r="K216" s="2"/>
      <c r="L216" s="2"/>
      <c r="M216" s="2"/>
      <c r="N216" s="2"/>
      <c r="O216" s="16"/>
      <c r="P216" s="16"/>
      <c r="Q216" s="16"/>
      <c r="R216" s="13"/>
      <c r="S216" s="17"/>
      <c r="U216" s="2"/>
    </row>
    <row r="1239" spans="6:6" x14ac:dyDescent="0.3">
      <c r="F1239" s="16" t="s">
        <v>130</v>
      </c>
    </row>
  </sheetData>
  <mergeCells count="12">
    <mergeCell ref="B126:F126"/>
    <mergeCell ref="B103:F103"/>
    <mergeCell ref="B8:F8"/>
    <mergeCell ref="B26:F26"/>
    <mergeCell ref="B17:F17"/>
    <mergeCell ref="B35:F35"/>
    <mergeCell ref="B44:F44"/>
    <mergeCell ref="B58:F58"/>
    <mergeCell ref="B67:F67"/>
    <mergeCell ref="B117:F117"/>
    <mergeCell ref="B77:F77"/>
    <mergeCell ref="B90:F90"/>
  </mergeCells>
  <phoneticPr fontId="35" type="noConversion"/>
  <dataValidations disablePrompts="1" count="1">
    <dataValidation type="list" operator="greaterThanOrEqual" allowBlank="1" showInputMessage="1" showErrorMessage="1" sqref="C115 C101 C88" xr:uid="{5CA3B79C-696C-4194-9A28-88C369862816}">
      <formula1>"Yes, No"</formula1>
    </dataValidation>
  </dataValidations>
  <hyperlinks>
    <hyperlink ref="G2" location="'Excel Output'!C50" display="Return button" xr:uid="{C27DE362-9A68-4E41-B30A-E9E0F26CA84D}"/>
  </hyperlink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4A66-948B-4AA6-A656-AD7C7CA00270}">
  <sheetPr codeName="Sheet10">
    <tabColor theme="9" tint="0.59999389629810485"/>
  </sheetPr>
  <dimension ref="A1:T1838"/>
  <sheetViews>
    <sheetView showGridLines="0" zoomScale="60" zoomScaleNormal="60" workbookViewId="0">
      <selection activeCell="E18" sqref="E18"/>
    </sheetView>
  </sheetViews>
  <sheetFormatPr defaultColWidth="16.44140625" defaultRowHeight="15.6" x14ac:dyDescent="0.3"/>
  <cols>
    <col min="1" max="1" width="8.44140625" style="302" customWidth="1"/>
    <col min="2" max="2" width="51" style="95" bestFit="1" customWidth="1"/>
    <col min="3" max="4" width="18.77734375" style="95" customWidth="1"/>
    <col min="5" max="5" width="23.77734375" style="95" customWidth="1"/>
    <col min="6" max="6" width="18.44140625" style="210" customWidth="1"/>
    <col min="7" max="7" width="15.44140625" style="95" customWidth="1"/>
    <col min="8" max="8" width="128.21875" style="95" customWidth="1"/>
    <col min="9" max="9" width="42.21875" style="95" customWidth="1"/>
    <col min="10" max="12" width="18.77734375" style="95" customWidth="1"/>
    <col min="13" max="15" width="18.77734375" style="99" customWidth="1"/>
    <col min="16" max="16" width="22.21875" style="96" customWidth="1"/>
    <col min="17" max="17" width="20.77734375" style="100" customWidth="1"/>
    <col min="18" max="18" width="43" style="195" customWidth="1"/>
    <col min="19" max="19" width="70.44140625" style="95" customWidth="1"/>
    <col min="20" max="20" width="6.77734375" style="95" customWidth="1"/>
    <col min="21" max="21" width="70.44140625" style="95" customWidth="1"/>
    <col min="22" max="16384" width="16.44140625" style="95"/>
  </cols>
  <sheetData>
    <row r="1" spans="1:20" ht="20.25" customHeight="1" thickBot="1" x14ac:dyDescent="0.35">
      <c r="F1" s="98"/>
      <c r="L1" s="94"/>
      <c r="M1" s="95"/>
      <c r="N1" s="95"/>
      <c r="O1" s="95"/>
      <c r="P1" s="95"/>
      <c r="Q1" s="95"/>
      <c r="R1" s="95"/>
    </row>
    <row r="2" spans="1:20" ht="16.2" thickBot="1" x14ac:dyDescent="0.35">
      <c r="B2" s="883" t="s">
        <v>606</v>
      </c>
      <c r="C2" s="884"/>
      <c r="D2" s="884"/>
      <c r="E2" s="884"/>
      <c r="F2" s="885"/>
      <c r="G2" s="466" t="s">
        <v>473</v>
      </c>
      <c r="H2" s="105" t="s">
        <v>500</v>
      </c>
      <c r="K2" s="99"/>
      <c r="L2" s="99"/>
      <c r="N2" s="96"/>
      <c r="O2" s="100"/>
      <c r="P2" s="195"/>
      <c r="Q2" s="95"/>
      <c r="R2" s="95"/>
    </row>
    <row r="3" spans="1:20" ht="16.5" customHeight="1" thickBot="1" x14ac:dyDescent="0.35">
      <c r="B3" s="302"/>
      <c r="C3" s="302"/>
      <c r="D3" s="302"/>
      <c r="E3" s="302"/>
      <c r="F3" s="302"/>
      <c r="G3" s="302"/>
      <c r="H3" s="302"/>
      <c r="I3" s="302"/>
      <c r="K3" s="99"/>
      <c r="L3" s="99"/>
      <c r="N3" s="96"/>
      <c r="O3" s="100"/>
      <c r="P3" s="195"/>
      <c r="Q3" s="95"/>
      <c r="R3" s="95"/>
    </row>
    <row r="4" spans="1:20" ht="16.2" thickBot="1" x14ac:dyDescent="0.35">
      <c r="B4" s="305" t="s">
        <v>12</v>
      </c>
      <c r="C4" s="306"/>
      <c r="D4" s="306"/>
      <c r="E4" s="306"/>
      <c r="F4" s="307"/>
      <c r="G4" s="304"/>
      <c r="H4" s="308" t="s">
        <v>2</v>
      </c>
      <c r="K4" s="99"/>
      <c r="L4" s="99"/>
      <c r="N4" s="96"/>
      <c r="O4" s="100"/>
      <c r="P4" s="195"/>
      <c r="Q4" s="95"/>
      <c r="R4" s="95"/>
    </row>
    <row r="5" spans="1:20" ht="16.2" thickBot="1" x14ac:dyDescent="0.35">
      <c r="A5" s="206"/>
      <c r="B5" s="309" t="s">
        <v>607</v>
      </c>
      <c r="C5" s="310"/>
      <c r="D5" s="310"/>
      <c r="E5" s="310"/>
      <c r="F5" s="318">
        <v>250000</v>
      </c>
      <c r="G5" s="304"/>
      <c r="H5" s="566"/>
      <c r="K5" s="99"/>
      <c r="L5" s="99"/>
      <c r="N5" s="96"/>
      <c r="O5" s="100"/>
      <c r="P5" s="195"/>
      <c r="Q5" s="95"/>
      <c r="R5" s="95"/>
    </row>
    <row r="6" spans="1:20" ht="20.25" customHeight="1" thickBot="1" x14ac:dyDescent="0.35">
      <c r="B6" s="7" t="s">
        <v>304</v>
      </c>
      <c r="C6" s="50"/>
      <c r="D6" s="50"/>
      <c r="E6" s="67"/>
      <c r="F6" s="567">
        <v>0</v>
      </c>
      <c r="G6" s="98"/>
      <c r="H6" s="545"/>
      <c r="I6" s="195"/>
      <c r="M6" s="95"/>
      <c r="N6" s="95"/>
      <c r="P6" s="99"/>
      <c r="Q6" s="99"/>
      <c r="R6" s="96"/>
      <c r="S6" s="100"/>
      <c r="T6" s="195"/>
    </row>
    <row r="7" spans="1:20" ht="16.2" thickBot="1" x14ac:dyDescent="0.35">
      <c r="B7" s="169" t="str">
        <f>FIXED(AnalysisTerm,0)&amp;"-Year Current State Cost"</f>
        <v>10-Year Current State Cost</v>
      </c>
      <c r="C7" s="92"/>
      <c r="D7" s="92"/>
      <c r="E7" s="93"/>
      <c r="F7" s="311">
        <f>IF(AnalysisTerm=3,F5+F5*(1+F6)+F5*(1+F6)^2,F5+F5*(1+F6)+F5*(1+F6)^2+F5*(1+F6)^3+F5*(1+F6)^4)</f>
        <v>1250000</v>
      </c>
      <c r="G7" s="312"/>
      <c r="H7" s="502" t="s">
        <v>8</v>
      </c>
      <c r="K7" s="99"/>
      <c r="L7" s="99"/>
      <c r="N7" s="96"/>
      <c r="O7" s="100"/>
      <c r="P7" s="195"/>
      <c r="Q7" s="95"/>
      <c r="R7" s="95"/>
    </row>
    <row r="8" spans="1:20" ht="20.25" customHeight="1" thickBot="1" x14ac:dyDescent="0.35">
      <c r="B8" s="74" t="s">
        <v>13</v>
      </c>
      <c r="C8" s="152"/>
      <c r="D8" s="310"/>
      <c r="E8" s="310"/>
      <c r="F8" s="313"/>
      <c r="G8" s="304"/>
      <c r="H8" s="310"/>
    </row>
    <row r="9" spans="1:20" ht="20.25" customHeight="1" thickBot="1" x14ac:dyDescent="0.35">
      <c r="B9" s="309" t="s">
        <v>303</v>
      </c>
      <c r="C9" s="310"/>
      <c r="D9" s="310"/>
      <c r="E9" s="317"/>
      <c r="F9" s="314">
        <v>0.5</v>
      </c>
      <c r="G9" s="304"/>
      <c r="H9" s="383" t="s">
        <v>608</v>
      </c>
    </row>
    <row r="10" spans="1:20" ht="16.2" thickBot="1" x14ac:dyDescent="0.35">
      <c r="B10" s="91" t="str">
        <f>FIXED(AnalysisTerm,0)&amp;"-Year Future State Cost"</f>
        <v>10-Year Future State Cost</v>
      </c>
      <c r="C10" s="92"/>
      <c r="D10" s="92"/>
      <c r="E10" s="93"/>
      <c r="F10" s="311">
        <f>ROUND(F7*(1-F9),0)</f>
        <v>625000</v>
      </c>
      <c r="G10" s="315"/>
      <c r="H10" s="502" t="s">
        <v>8</v>
      </c>
      <c r="K10" s="99"/>
      <c r="L10" s="99"/>
      <c r="N10" s="96"/>
      <c r="O10" s="100"/>
      <c r="P10" s="195"/>
      <c r="Q10" s="95"/>
      <c r="R10" s="95"/>
    </row>
    <row r="11" spans="1:20" x14ac:dyDescent="0.3">
      <c r="B11" s="2"/>
      <c r="C11" s="2"/>
      <c r="D11" s="2"/>
      <c r="E11" s="2"/>
      <c r="F11" s="13"/>
      <c r="G11" s="286"/>
      <c r="H11" s="2"/>
    </row>
    <row r="57" spans="2:18" ht="20.25" customHeight="1" x14ac:dyDescent="0.3">
      <c r="B57" s="255"/>
      <c r="C57" s="256"/>
      <c r="D57" s="148"/>
      <c r="E57" s="148"/>
      <c r="F57" s="98"/>
      <c r="G57" s="195"/>
    </row>
    <row r="58" spans="2:18" ht="10.050000000000001" customHeight="1" x14ac:dyDescent="0.3">
      <c r="F58" s="98"/>
      <c r="M58" s="95"/>
      <c r="N58" s="95"/>
      <c r="O58" s="95"/>
      <c r="P58" s="95"/>
      <c r="Q58" s="95"/>
      <c r="R58" s="95"/>
    </row>
    <row r="59" spans="2:18" collapsed="1" x14ac:dyDescent="0.3">
      <c r="F59" s="98"/>
    </row>
    <row r="60" spans="2:18" x14ac:dyDescent="0.3">
      <c r="F60" s="98"/>
    </row>
    <row r="61" spans="2:18" x14ac:dyDescent="0.3">
      <c r="F61" s="98"/>
    </row>
    <row r="62" spans="2:18" x14ac:dyDescent="0.3">
      <c r="F62" s="98"/>
    </row>
    <row r="63" spans="2:18" x14ac:dyDescent="0.3">
      <c r="F63" s="98"/>
    </row>
    <row r="64" spans="2:18" x14ac:dyDescent="0.3">
      <c r="F64" s="98"/>
    </row>
    <row r="65" spans="6:6" x14ac:dyDescent="0.3">
      <c r="F65" s="98"/>
    </row>
    <row r="66" spans="6:6" x14ac:dyDescent="0.3">
      <c r="F66" s="98"/>
    </row>
    <row r="67" spans="6:6" x14ac:dyDescent="0.3">
      <c r="F67" s="98"/>
    </row>
    <row r="68" spans="6:6" x14ac:dyDescent="0.3">
      <c r="F68" s="98"/>
    </row>
    <row r="69" spans="6:6" x14ac:dyDescent="0.3">
      <c r="F69" s="98"/>
    </row>
    <row r="70" spans="6:6" x14ac:dyDescent="0.3">
      <c r="F70" s="98"/>
    </row>
    <row r="71" spans="6:6" x14ac:dyDescent="0.3">
      <c r="F71" s="98"/>
    </row>
    <row r="72" spans="6:6" x14ac:dyDescent="0.3">
      <c r="F72" s="98"/>
    </row>
    <row r="73" spans="6:6" x14ac:dyDescent="0.3">
      <c r="F73" s="98"/>
    </row>
    <row r="74" spans="6:6" x14ac:dyDescent="0.3">
      <c r="F74" s="98"/>
    </row>
    <row r="75" spans="6:6" x14ac:dyDescent="0.3">
      <c r="F75" s="98"/>
    </row>
    <row r="76" spans="6:6" x14ac:dyDescent="0.3">
      <c r="F76" s="98"/>
    </row>
    <row r="77" spans="6:6" x14ac:dyDescent="0.3">
      <c r="F77" s="98"/>
    </row>
    <row r="78" spans="6:6" x14ac:dyDescent="0.3">
      <c r="F78" s="98"/>
    </row>
    <row r="79" spans="6:6" x14ac:dyDescent="0.3">
      <c r="F79" s="98"/>
    </row>
    <row r="80" spans="6:6" x14ac:dyDescent="0.3">
      <c r="F80" s="98"/>
    </row>
    <row r="81" spans="6:6" x14ac:dyDescent="0.3">
      <c r="F81" s="98"/>
    </row>
    <row r="82" spans="6:6" x14ac:dyDescent="0.3">
      <c r="F82" s="98"/>
    </row>
    <row r="83" spans="6:6" x14ac:dyDescent="0.3">
      <c r="F83" s="98"/>
    </row>
    <row r="84" spans="6:6" x14ac:dyDescent="0.3">
      <c r="F84" s="98"/>
    </row>
    <row r="85" spans="6:6" x14ac:dyDescent="0.3">
      <c r="F85" s="98"/>
    </row>
    <row r="86" spans="6:6" x14ac:dyDescent="0.3">
      <c r="F86" s="98"/>
    </row>
    <row r="87" spans="6:6" x14ac:dyDescent="0.3">
      <c r="F87" s="98"/>
    </row>
    <row r="88" spans="6:6" x14ac:dyDescent="0.3">
      <c r="F88" s="98"/>
    </row>
    <row r="89" spans="6:6" x14ac:dyDescent="0.3">
      <c r="F89" s="98"/>
    </row>
    <row r="90" spans="6:6" x14ac:dyDescent="0.3">
      <c r="F90" s="98"/>
    </row>
    <row r="91" spans="6:6" x14ac:dyDescent="0.3">
      <c r="F91" s="98"/>
    </row>
    <row r="92" spans="6:6" x14ac:dyDescent="0.3">
      <c r="F92" s="98"/>
    </row>
    <row r="93" spans="6:6" x14ac:dyDescent="0.3">
      <c r="F93" s="98"/>
    </row>
    <row r="94" spans="6:6" x14ac:dyDescent="0.3">
      <c r="F94" s="98"/>
    </row>
    <row r="95" spans="6:6" x14ac:dyDescent="0.3">
      <c r="F95" s="98"/>
    </row>
    <row r="96" spans="6:6" x14ac:dyDescent="0.3">
      <c r="F96" s="98"/>
    </row>
    <row r="97" spans="6:6" x14ac:dyDescent="0.3">
      <c r="F97" s="98"/>
    </row>
    <row r="98" spans="6:6" x14ac:dyDescent="0.3">
      <c r="F98" s="98"/>
    </row>
    <row r="99" spans="6:6" x14ac:dyDescent="0.3">
      <c r="F99" s="98"/>
    </row>
    <row r="100" spans="6:6" x14ac:dyDescent="0.3">
      <c r="F100" s="98"/>
    </row>
    <row r="101" spans="6:6" x14ac:dyDescent="0.3">
      <c r="F101" s="98"/>
    </row>
    <row r="102" spans="6:6" x14ac:dyDescent="0.3">
      <c r="F102" s="98"/>
    </row>
    <row r="103" spans="6:6" x14ac:dyDescent="0.3">
      <c r="F103" s="98"/>
    </row>
    <row r="104" spans="6:6" x14ac:dyDescent="0.3">
      <c r="F104" s="98"/>
    </row>
    <row r="105" spans="6:6" x14ac:dyDescent="0.3">
      <c r="F105" s="98"/>
    </row>
    <row r="106" spans="6:6" x14ac:dyDescent="0.3">
      <c r="F106" s="98"/>
    </row>
    <row r="107" spans="6:6" x14ac:dyDescent="0.3">
      <c r="F107" s="98"/>
    </row>
    <row r="108" spans="6:6" x14ac:dyDescent="0.3">
      <c r="F108" s="98"/>
    </row>
    <row r="109" spans="6:6" x14ac:dyDescent="0.3">
      <c r="F109" s="98"/>
    </row>
    <row r="110" spans="6:6" x14ac:dyDescent="0.3">
      <c r="F110" s="98"/>
    </row>
    <row r="111" spans="6:6" x14ac:dyDescent="0.3">
      <c r="F111" s="98"/>
    </row>
    <row r="112" spans="6:6" x14ac:dyDescent="0.3">
      <c r="F112" s="98"/>
    </row>
    <row r="113" spans="6:6" x14ac:dyDescent="0.3">
      <c r="F113" s="98"/>
    </row>
    <row r="114" spans="6:6" x14ac:dyDescent="0.3">
      <c r="F114" s="98"/>
    </row>
    <row r="115" spans="6:6" x14ac:dyDescent="0.3">
      <c r="F115" s="98"/>
    </row>
    <row r="116" spans="6:6" x14ac:dyDescent="0.3">
      <c r="F116" s="98"/>
    </row>
    <row r="117" spans="6:6" x14ac:dyDescent="0.3">
      <c r="F117" s="98"/>
    </row>
    <row r="118" spans="6:6" x14ac:dyDescent="0.3">
      <c r="F118" s="98"/>
    </row>
    <row r="119" spans="6:6" x14ac:dyDescent="0.3">
      <c r="F119" s="98"/>
    </row>
    <row r="120" spans="6:6" x14ac:dyDescent="0.3">
      <c r="F120" s="98"/>
    </row>
    <row r="121" spans="6:6" x14ac:dyDescent="0.3">
      <c r="F121" s="98"/>
    </row>
    <row r="122" spans="6:6" x14ac:dyDescent="0.3">
      <c r="F122" s="98"/>
    </row>
    <row r="123" spans="6:6" x14ac:dyDescent="0.3">
      <c r="F123" s="98"/>
    </row>
    <row r="124" spans="6:6" x14ac:dyDescent="0.3">
      <c r="F124" s="98"/>
    </row>
    <row r="125" spans="6:6" x14ac:dyDescent="0.3">
      <c r="F125" s="98"/>
    </row>
    <row r="126" spans="6:6" x14ac:dyDescent="0.3">
      <c r="F126" s="98"/>
    </row>
    <row r="127" spans="6:6" x14ac:dyDescent="0.3">
      <c r="F127" s="98"/>
    </row>
    <row r="128" spans="6:6" x14ac:dyDescent="0.3">
      <c r="F128" s="98"/>
    </row>
    <row r="129" spans="6:6" x14ac:dyDescent="0.3">
      <c r="F129" s="98"/>
    </row>
    <row r="130" spans="6:6" x14ac:dyDescent="0.3">
      <c r="F130" s="98"/>
    </row>
    <row r="131" spans="6:6" x14ac:dyDescent="0.3">
      <c r="F131" s="98"/>
    </row>
    <row r="132" spans="6:6" x14ac:dyDescent="0.3">
      <c r="F132" s="98"/>
    </row>
    <row r="133" spans="6:6" x14ac:dyDescent="0.3">
      <c r="F133" s="98"/>
    </row>
    <row r="134" spans="6:6" x14ac:dyDescent="0.3">
      <c r="F134" s="98"/>
    </row>
    <row r="135" spans="6:6" x14ac:dyDescent="0.3">
      <c r="F135" s="98"/>
    </row>
    <row r="136" spans="6:6" x14ac:dyDescent="0.3">
      <c r="F136" s="98"/>
    </row>
    <row r="137" spans="6:6" x14ac:dyDescent="0.3">
      <c r="F137" s="98"/>
    </row>
    <row r="138" spans="6:6" x14ac:dyDescent="0.3">
      <c r="F138" s="98"/>
    </row>
    <row r="139" spans="6:6" x14ac:dyDescent="0.3">
      <c r="F139" s="98"/>
    </row>
    <row r="140" spans="6:6" x14ac:dyDescent="0.3">
      <c r="F140" s="98"/>
    </row>
    <row r="141" spans="6:6" x14ac:dyDescent="0.3">
      <c r="F141" s="98"/>
    </row>
    <row r="142" spans="6:6" x14ac:dyDescent="0.3">
      <c r="F142" s="98"/>
    </row>
    <row r="143" spans="6:6" x14ac:dyDescent="0.3">
      <c r="F143" s="98"/>
    </row>
    <row r="144" spans="6:6" x14ac:dyDescent="0.3">
      <c r="F144" s="98"/>
    </row>
    <row r="145" spans="6:6" x14ac:dyDescent="0.3">
      <c r="F145" s="98"/>
    </row>
    <row r="146" spans="6:6" x14ac:dyDescent="0.3">
      <c r="F146" s="98"/>
    </row>
    <row r="147" spans="6:6" x14ac:dyDescent="0.3">
      <c r="F147" s="98"/>
    </row>
    <row r="148" spans="6:6" x14ac:dyDescent="0.3">
      <c r="F148" s="98"/>
    </row>
    <row r="149" spans="6:6" x14ac:dyDescent="0.3">
      <c r="F149" s="98"/>
    </row>
    <row r="150" spans="6:6" x14ac:dyDescent="0.3">
      <c r="F150" s="98"/>
    </row>
    <row r="151" spans="6:6" x14ac:dyDescent="0.3">
      <c r="F151" s="98"/>
    </row>
    <row r="152" spans="6:6" x14ac:dyDescent="0.3">
      <c r="F152" s="98"/>
    </row>
    <row r="153" spans="6:6" x14ac:dyDescent="0.3">
      <c r="F153" s="98"/>
    </row>
    <row r="154" spans="6:6" x14ac:dyDescent="0.3">
      <c r="F154" s="98"/>
    </row>
    <row r="155" spans="6:6" x14ac:dyDescent="0.3">
      <c r="F155" s="98"/>
    </row>
    <row r="156" spans="6:6" x14ac:dyDescent="0.3">
      <c r="F156" s="98"/>
    </row>
    <row r="157" spans="6:6" x14ac:dyDescent="0.3">
      <c r="F157" s="98"/>
    </row>
    <row r="158" spans="6:6" x14ac:dyDescent="0.3">
      <c r="F158" s="98"/>
    </row>
    <row r="159" spans="6:6" x14ac:dyDescent="0.3">
      <c r="F159" s="98"/>
    </row>
    <row r="160" spans="6:6" x14ac:dyDescent="0.3">
      <c r="F160" s="98"/>
    </row>
    <row r="161" spans="6:6" x14ac:dyDescent="0.3">
      <c r="F161" s="98"/>
    </row>
    <row r="162" spans="6:6" x14ac:dyDescent="0.3">
      <c r="F162" s="98"/>
    </row>
    <row r="163" spans="6:6" x14ac:dyDescent="0.3">
      <c r="F163" s="98"/>
    </row>
    <row r="164" spans="6:6" x14ac:dyDescent="0.3">
      <c r="F164" s="98"/>
    </row>
    <row r="165" spans="6:6" x14ac:dyDescent="0.3">
      <c r="F165" s="98"/>
    </row>
    <row r="166" spans="6:6" x14ac:dyDescent="0.3">
      <c r="F166" s="98"/>
    </row>
    <row r="167" spans="6:6" x14ac:dyDescent="0.3">
      <c r="F167" s="98"/>
    </row>
    <row r="168" spans="6:6" x14ac:dyDescent="0.3">
      <c r="F168" s="98"/>
    </row>
    <row r="169" spans="6:6" x14ac:dyDescent="0.3">
      <c r="F169" s="98"/>
    </row>
    <row r="170" spans="6:6" x14ac:dyDescent="0.3">
      <c r="F170" s="98"/>
    </row>
    <row r="171" spans="6:6" x14ac:dyDescent="0.3">
      <c r="F171" s="98"/>
    </row>
    <row r="172" spans="6:6" x14ac:dyDescent="0.3">
      <c r="F172" s="98"/>
    </row>
    <row r="173" spans="6:6" x14ac:dyDescent="0.3">
      <c r="F173" s="98"/>
    </row>
    <row r="174" spans="6:6" x14ac:dyDescent="0.3">
      <c r="F174" s="98"/>
    </row>
    <row r="175" spans="6:6" x14ac:dyDescent="0.3">
      <c r="F175" s="98"/>
    </row>
    <row r="176" spans="6:6" x14ac:dyDescent="0.3">
      <c r="F176" s="98"/>
    </row>
    <row r="177" spans="6:6" x14ac:dyDescent="0.3">
      <c r="F177" s="98"/>
    </row>
    <row r="178" spans="6:6" x14ac:dyDescent="0.3">
      <c r="F178" s="98"/>
    </row>
    <row r="179" spans="6:6" x14ac:dyDescent="0.3">
      <c r="F179" s="98"/>
    </row>
    <row r="180" spans="6:6" x14ac:dyDescent="0.3">
      <c r="F180" s="98"/>
    </row>
    <row r="181" spans="6:6" x14ac:dyDescent="0.3">
      <c r="F181" s="98"/>
    </row>
    <row r="182" spans="6:6" x14ac:dyDescent="0.3">
      <c r="F182" s="98"/>
    </row>
    <row r="183" spans="6:6" x14ac:dyDescent="0.3">
      <c r="F183" s="98"/>
    </row>
    <row r="184" spans="6:6" x14ac:dyDescent="0.3">
      <c r="F184" s="98"/>
    </row>
    <row r="185" spans="6:6" x14ac:dyDescent="0.3">
      <c r="F185" s="98"/>
    </row>
    <row r="186" spans="6:6" x14ac:dyDescent="0.3">
      <c r="F186" s="98"/>
    </row>
    <row r="187" spans="6:6" x14ac:dyDescent="0.3">
      <c r="F187" s="98"/>
    </row>
    <row r="188" spans="6:6" x14ac:dyDescent="0.3">
      <c r="F188" s="98"/>
    </row>
    <row r="189" spans="6:6" x14ac:dyDescent="0.3">
      <c r="F189" s="98"/>
    </row>
    <row r="190" spans="6:6" x14ac:dyDescent="0.3">
      <c r="F190" s="98"/>
    </row>
    <row r="191" spans="6:6" x14ac:dyDescent="0.3">
      <c r="F191" s="98"/>
    </row>
    <row r="192" spans="6:6" x14ac:dyDescent="0.3">
      <c r="F192" s="98"/>
    </row>
    <row r="193" spans="6:6" x14ac:dyDescent="0.3">
      <c r="F193" s="98"/>
    </row>
    <row r="194" spans="6:6" x14ac:dyDescent="0.3">
      <c r="F194" s="98"/>
    </row>
    <row r="195" spans="6:6" x14ac:dyDescent="0.3">
      <c r="F195" s="98"/>
    </row>
    <row r="196" spans="6:6" x14ac:dyDescent="0.3">
      <c r="F196" s="98"/>
    </row>
    <row r="197" spans="6:6" x14ac:dyDescent="0.3">
      <c r="F197" s="98"/>
    </row>
    <row r="198" spans="6:6" x14ac:dyDescent="0.3">
      <c r="F198" s="98"/>
    </row>
    <row r="199" spans="6:6" x14ac:dyDescent="0.3">
      <c r="F199" s="98"/>
    </row>
    <row r="200" spans="6:6" x14ac:dyDescent="0.3">
      <c r="F200" s="98"/>
    </row>
    <row r="201" spans="6:6" x14ac:dyDescent="0.3">
      <c r="F201" s="98"/>
    </row>
    <row r="202" spans="6:6" x14ac:dyDescent="0.3">
      <c r="F202" s="98"/>
    </row>
    <row r="203" spans="6:6" x14ac:dyDescent="0.3">
      <c r="F203" s="98"/>
    </row>
    <row r="204" spans="6:6" x14ac:dyDescent="0.3">
      <c r="F204" s="98"/>
    </row>
    <row r="205" spans="6:6" x14ac:dyDescent="0.3">
      <c r="F205" s="98"/>
    </row>
    <row r="206" spans="6:6" x14ac:dyDescent="0.3">
      <c r="F206" s="98"/>
    </row>
    <row r="207" spans="6:6" x14ac:dyDescent="0.3">
      <c r="F207" s="98"/>
    </row>
    <row r="208" spans="6:6" x14ac:dyDescent="0.3">
      <c r="F208" s="98"/>
    </row>
    <row r="209" spans="6:6" x14ac:dyDescent="0.3">
      <c r="F209" s="98"/>
    </row>
    <row r="210" spans="6:6" x14ac:dyDescent="0.3">
      <c r="F210" s="98"/>
    </row>
    <row r="211" spans="6:6" x14ac:dyDescent="0.3">
      <c r="F211" s="98"/>
    </row>
    <row r="212" spans="6:6" x14ac:dyDescent="0.3">
      <c r="F212" s="98"/>
    </row>
    <row r="213" spans="6:6" x14ac:dyDescent="0.3">
      <c r="F213" s="98"/>
    </row>
    <row r="214" spans="6:6" x14ac:dyDescent="0.3">
      <c r="F214" s="98"/>
    </row>
    <row r="215" spans="6:6" x14ac:dyDescent="0.3">
      <c r="F215" s="98"/>
    </row>
    <row r="216" spans="6:6" x14ac:dyDescent="0.3">
      <c r="F216" s="98"/>
    </row>
    <row r="217" spans="6:6" x14ac:dyDescent="0.3">
      <c r="F217" s="98"/>
    </row>
    <row r="218" spans="6:6" x14ac:dyDescent="0.3">
      <c r="F218" s="98"/>
    </row>
    <row r="219" spans="6:6" x14ac:dyDescent="0.3">
      <c r="F219" s="98"/>
    </row>
    <row r="220" spans="6:6" x14ac:dyDescent="0.3">
      <c r="F220" s="98"/>
    </row>
    <row r="221" spans="6:6" x14ac:dyDescent="0.3">
      <c r="F221" s="98"/>
    </row>
    <row r="222" spans="6:6" x14ac:dyDescent="0.3">
      <c r="F222" s="98"/>
    </row>
    <row r="223" spans="6:6" x14ac:dyDescent="0.3">
      <c r="F223" s="98"/>
    </row>
    <row r="224" spans="6:6" x14ac:dyDescent="0.3">
      <c r="F224" s="98"/>
    </row>
    <row r="225" spans="6:6" x14ac:dyDescent="0.3">
      <c r="F225" s="98"/>
    </row>
    <row r="226" spans="6:6" x14ac:dyDescent="0.3">
      <c r="F226" s="98"/>
    </row>
    <row r="227" spans="6:6" x14ac:dyDescent="0.3">
      <c r="F227" s="98"/>
    </row>
    <row r="228" spans="6:6" x14ac:dyDescent="0.3">
      <c r="F228" s="98"/>
    </row>
    <row r="229" spans="6:6" x14ac:dyDescent="0.3">
      <c r="F229" s="98"/>
    </row>
    <row r="230" spans="6:6" x14ac:dyDescent="0.3">
      <c r="F230" s="98"/>
    </row>
    <row r="231" spans="6:6" x14ac:dyDescent="0.3">
      <c r="F231" s="98"/>
    </row>
    <row r="232" spans="6:6" x14ac:dyDescent="0.3">
      <c r="F232" s="98"/>
    </row>
    <row r="233" spans="6:6" x14ac:dyDescent="0.3">
      <c r="F233" s="98"/>
    </row>
    <row r="234" spans="6:6" x14ac:dyDescent="0.3">
      <c r="F234" s="98"/>
    </row>
    <row r="235" spans="6:6" x14ac:dyDescent="0.3">
      <c r="F235" s="98"/>
    </row>
    <row r="236" spans="6:6" x14ac:dyDescent="0.3">
      <c r="F236" s="98"/>
    </row>
    <row r="237" spans="6:6" x14ac:dyDescent="0.3">
      <c r="F237" s="98"/>
    </row>
    <row r="238" spans="6:6" x14ac:dyDescent="0.3">
      <c r="F238" s="98"/>
    </row>
    <row r="239" spans="6:6" x14ac:dyDescent="0.3">
      <c r="F239" s="98"/>
    </row>
    <row r="240" spans="6:6" x14ac:dyDescent="0.3">
      <c r="F240" s="98"/>
    </row>
    <row r="241" spans="6:6" x14ac:dyDescent="0.3">
      <c r="F241" s="98"/>
    </row>
    <row r="242" spans="6:6" x14ac:dyDescent="0.3">
      <c r="F242" s="98"/>
    </row>
    <row r="243" spans="6:6" x14ac:dyDescent="0.3">
      <c r="F243" s="98"/>
    </row>
    <row r="244" spans="6:6" x14ac:dyDescent="0.3">
      <c r="F244" s="98"/>
    </row>
    <row r="245" spans="6:6" x14ac:dyDescent="0.3">
      <c r="F245" s="98"/>
    </row>
    <row r="246" spans="6:6" x14ac:dyDescent="0.3">
      <c r="F246" s="98"/>
    </row>
    <row r="247" spans="6:6" x14ac:dyDescent="0.3">
      <c r="F247" s="98"/>
    </row>
    <row r="248" spans="6:6" x14ac:dyDescent="0.3">
      <c r="F248" s="98"/>
    </row>
    <row r="249" spans="6:6" x14ac:dyDescent="0.3">
      <c r="F249" s="98"/>
    </row>
    <row r="250" spans="6:6" x14ac:dyDescent="0.3">
      <c r="F250" s="98"/>
    </row>
    <row r="251" spans="6:6" x14ac:dyDescent="0.3">
      <c r="F251" s="98"/>
    </row>
    <row r="252" spans="6:6" x14ac:dyDescent="0.3">
      <c r="F252" s="98"/>
    </row>
    <row r="253" spans="6:6" x14ac:dyDescent="0.3">
      <c r="F253" s="98"/>
    </row>
    <row r="254" spans="6:6" x14ac:dyDescent="0.3">
      <c r="F254" s="98"/>
    </row>
    <row r="255" spans="6:6" x14ac:dyDescent="0.3">
      <c r="F255" s="98"/>
    </row>
    <row r="256" spans="6:6" x14ac:dyDescent="0.3">
      <c r="F256" s="98"/>
    </row>
    <row r="257" spans="6:6" x14ac:dyDescent="0.3">
      <c r="F257" s="98"/>
    </row>
    <row r="258" spans="6:6" x14ac:dyDescent="0.3">
      <c r="F258" s="98"/>
    </row>
    <row r="259" spans="6:6" x14ac:dyDescent="0.3">
      <c r="F259" s="98"/>
    </row>
    <row r="260" spans="6:6" x14ac:dyDescent="0.3">
      <c r="F260" s="98"/>
    </row>
    <row r="261" spans="6:6" x14ac:dyDescent="0.3">
      <c r="F261" s="98"/>
    </row>
    <row r="262" spans="6:6" x14ac:dyDescent="0.3">
      <c r="F262" s="98"/>
    </row>
    <row r="263" spans="6:6" x14ac:dyDescent="0.3">
      <c r="F263" s="98"/>
    </row>
    <row r="264" spans="6:6" x14ac:dyDescent="0.3">
      <c r="F264" s="98"/>
    </row>
    <row r="265" spans="6:6" x14ac:dyDescent="0.3">
      <c r="F265" s="98"/>
    </row>
    <row r="266" spans="6:6" x14ac:dyDescent="0.3">
      <c r="F266" s="98"/>
    </row>
    <row r="267" spans="6:6" x14ac:dyDescent="0.3">
      <c r="F267" s="98"/>
    </row>
    <row r="268" spans="6:6" x14ac:dyDescent="0.3">
      <c r="F268" s="98"/>
    </row>
    <row r="269" spans="6:6" x14ac:dyDescent="0.3">
      <c r="F269" s="98"/>
    </row>
    <row r="270" spans="6:6" x14ac:dyDescent="0.3">
      <c r="F270" s="98"/>
    </row>
    <row r="271" spans="6:6" x14ac:dyDescent="0.3">
      <c r="F271" s="98"/>
    </row>
    <row r="272" spans="6:6" x14ac:dyDescent="0.3">
      <c r="F272" s="98"/>
    </row>
    <row r="273" spans="6:6" x14ac:dyDescent="0.3">
      <c r="F273" s="98"/>
    </row>
    <row r="274" spans="6:6" x14ac:dyDescent="0.3">
      <c r="F274" s="98"/>
    </row>
    <row r="275" spans="6:6" x14ac:dyDescent="0.3">
      <c r="F275" s="98"/>
    </row>
    <row r="276" spans="6:6" x14ac:dyDescent="0.3">
      <c r="F276" s="98"/>
    </row>
    <row r="277" spans="6:6" x14ac:dyDescent="0.3">
      <c r="F277" s="98"/>
    </row>
    <row r="278" spans="6:6" x14ac:dyDescent="0.3">
      <c r="F278" s="98"/>
    </row>
    <row r="279" spans="6:6" x14ac:dyDescent="0.3">
      <c r="F279" s="98"/>
    </row>
    <row r="280" spans="6:6" x14ac:dyDescent="0.3">
      <c r="F280" s="98"/>
    </row>
    <row r="281" spans="6:6" x14ac:dyDescent="0.3">
      <c r="F281" s="98"/>
    </row>
    <row r="282" spans="6:6" x14ac:dyDescent="0.3">
      <c r="F282" s="98"/>
    </row>
    <row r="283" spans="6:6" x14ac:dyDescent="0.3">
      <c r="F283" s="98"/>
    </row>
    <row r="284" spans="6:6" x14ac:dyDescent="0.3">
      <c r="F284" s="98"/>
    </row>
    <row r="285" spans="6:6" x14ac:dyDescent="0.3">
      <c r="F285" s="98"/>
    </row>
    <row r="286" spans="6:6" x14ac:dyDescent="0.3">
      <c r="F286" s="98"/>
    </row>
    <row r="287" spans="6:6" x14ac:dyDescent="0.3">
      <c r="F287" s="98"/>
    </row>
    <row r="288" spans="6:6" x14ac:dyDescent="0.3">
      <c r="F288" s="98"/>
    </row>
    <row r="289" spans="6:6" x14ac:dyDescent="0.3">
      <c r="F289" s="98"/>
    </row>
    <row r="290" spans="6:6" x14ac:dyDescent="0.3">
      <c r="F290" s="98"/>
    </row>
    <row r="291" spans="6:6" x14ac:dyDescent="0.3">
      <c r="F291" s="98"/>
    </row>
    <row r="292" spans="6:6" x14ac:dyDescent="0.3">
      <c r="F292" s="98"/>
    </row>
    <row r="293" spans="6:6" x14ac:dyDescent="0.3">
      <c r="F293" s="98"/>
    </row>
    <row r="294" spans="6:6" x14ac:dyDescent="0.3">
      <c r="F294" s="98"/>
    </row>
    <row r="295" spans="6:6" x14ac:dyDescent="0.3">
      <c r="F295" s="98"/>
    </row>
    <row r="296" spans="6:6" x14ac:dyDescent="0.3">
      <c r="F296" s="98"/>
    </row>
    <row r="297" spans="6:6" x14ac:dyDescent="0.3">
      <c r="F297" s="98"/>
    </row>
    <row r="298" spans="6:6" x14ac:dyDescent="0.3">
      <c r="F298" s="98"/>
    </row>
    <row r="299" spans="6:6" x14ac:dyDescent="0.3">
      <c r="F299" s="98"/>
    </row>
    <row r="300" spans="6:6" x14ac:dyDescent="0.3">
      <c r="F300" s="98"/>
    </row>
    <row r="301" spans="6:6" x14ac:dyDescent="0.3">
      <c r="F301" s="98"/>
    </row>
    <row r="302" spans="6:6" x14ac:dyDescent="0.3">
      <c r="F302" s="98"/>
    </row>
    <row r="303" spans="6:6" x14ac:dyDescent="0.3">
      <c r="F303" s="98"/>
    </row>
    <row r="304" spans="6:6" x14ac:dyDescent="0.3">
      <c r="F304" s="98"/>
    </row>
    <row r="305" spans="6:6" x14ac:dyDescent="0.3">
      <c r="F305" s="98"/>
    </row>
    <row r="306" spans="6:6" x14ac:dyDescent="0.3">
      <c r="F306" s="98"/>
    </row>
    <row r="307" spans="6:6" x14ac:dyDescent="0.3">
      <c r="F307" s="98"/>
    </row>
    <row r="308" spans="6:6" x14ac:dyDescent="0.3">
      <c r="F308" s="98"/>
    </row>
    <row r="309" spans="6:6" x14ac:dyDescent="0.3">
      <c r="F309" s="98"/>
    </row>
    <row r="310" spans="6:6" x14ac:dyDescent="0.3">
      <c r="F310" s="98"/>
    </row>
    <row r="311" spans="6:6" x14ac:dyDescent="0.3">
      <c r="F311" s="98"/>
    </row>
    <row r="312" spans="6:6" x14ac:dyDescent="0.3">
      <c r="F312" s="98"/>
    </row>
    <row r="313" spans="6:6" x14ac:dyDescent="0.3">
      <c r="F313" s="98"/>
    </row>
    <row r="314" spans="6:6" x14ac:dyDescent="0.3">
      <c r="F314" s="98"/>
    </row>
    <row r="315" spans="6:6" x14ac:dyDescent="0.3">
      <c r="F315" s="98"/>
    </row>
    <row r="316" spans="6:6" x14ac:dyDescent="0.3">
      <c r="F316" s="98"/>
    </row>
    <row r="317" spans="6:6" x14ac:dyDescent="0.3">
      <c r="F317" s="98"/>
    </row>
    <row r="318" spans="6:6" x14ac:dyDescent="0.3">
      <c r="F318" s="98"/>
    </row>
    <row r="319" spans="6:6" x14ac:dyDescent="0.3">
      <c r="F319" s="98"/>
    </row>
    <row r="320" spans="6:6" x14ac:dyDescent="0.3">
      <c r="F320" s="98"/>
    </row>
    <row r="321" spans="6:6" x14ac:dyDescent="0.3">
      <c r="F321" s="98"/>
    </row>
    <row r="322" spans="6:6" x14ac:dyDescent="0.3">
      <c r="F322" s="98"/>
    </row>
    <row r="323" spans="6:6" x14ac:dyDescent="0.3">
      <c r="F323" s="98"/>
    </row>
    <row r="324" spans="6:6" x14ac:dyDescent="0.3">
      <c r="F324" s="98"/>
    </row>
    <row r="325" spans="6:6" x14ac:dyDescent="0.3">
      <c r="F325" s="98"/>
    </row>
    <row r="326" spans="6:6" x14ac:dyDescent="0.3">
      <c r="F326" s="98"/>
    </row>
    <row r="327" spans="6:6" x14ac:dyDescent="0.3">
      <c r="F327" s="98"/>
    </row>
    <row r="328" spans="6:6" x14ac:dyDescent="0.3">
      <c r="F328" s="98"/>
    </row>
    <row r="329" spans="6:6" x14ac:dyDescent="0.3">
      <c r="F329" s="98"/>
    </row>
    <row r="330" spans="6:6" x14ac:dyDescent="0.3">
      <c r="F330" s="98"/>
    </row>
    <row r="331" spans="6:6" x14ac:dyDescent="0.3">
      <c r="F331" s="98"/>
    </row>
    <row r="332" spans="6:6" x14ac:dyDescent="0.3">
      <c r="F332" s="98"/>
    </row>
    <row r="333" spans="6:6" x14ac:dyDescent="0.3">
      <c r="F333" s="98"/>
    </row>
    <row r="334" spans="6:6" x14ac:dyDescent="0.3">
      <c r="F334" s="98"/>
    </row>
    <row r="335" spans="6:6" x14ac:dyDescent="0.3">
      <c r="F335" s="98"/>
    </row>
    <row r="336" spans="6:6" x14ac:dyDescent="0.3">
      <c r="F336" s="98"/>
    </row>
    <row r="337" spans="6:6" x14ac:dyDescent="0.3">
      <c r="F337" s="98"/>
    </row>
    <row r="338" spans="6:6" x14ac:dyDescent="0.3">
      <c r="F338" s="98"/>
    </row>
    <row r="339" spans="6:6" x14ac:dyDescent="0.3">
      <c r="F339" s="98"/>
    </row>
    <row r="340" spans="6:6" x14ac:dyDescent="0.3">
      <c r="F340" s="98"/>
    </row>
    <row r="341" spans="6:6" x14ac:dyDescent="0.3">
      <c r="F341" s="98"/>
    </row>
    <row r="342" spans="6:6" x14ac:dyDescent="0.3">
      <c r="F342" s="98"/>
    </row>
    <row r="343" spans="6:6" x14ac:dyDescent="0.3">
      <c r="F343" s="98"/>
    </row>
    <row r="344" spans="6:6" x14ac:dyDescent="0.3">
      <c r="F344" s="98"/>
    </row>
    <row r="345" spans="6:6" x14ac:dyDescent="0.3">
      <c r="F345" s="98"/>
    </row>
    <row r="346" spans="6:6" x14ac:dyDescent="0.3">
      <c r="F346" s="98"/>
    </row>
    <row r="347" spans="6:6" x14ac:dyDescent="0.3">
      <c r="F347" s="98"/>
    </row>
    <row r="348" spans="6:6" x14ac:dyDescent="0.3">
      <c r="F348" s="98"/>
    </row>
    <row r="349" spans="6:6" x14ac:dyDescent="0.3">
      <c r="F349" s="98"/>
    </row>
    <row r="350" spans="6:6" x14ac:dyDescent="0.3">
      <c r="F350" s="98"/>
    </row>
    <row r="351" spans="6:6" x14ac:dyDescent="0.3">
      <c r="F351" s="98"/>
    </row>
    <row r="352" spans="6:6" x14ac:dyDescent="0.3">
      <c r="F352" s="98"/>
    </row>
    <row r="353" spans="6:6" x14ac:dyDescent="0.3">
      <c r="F353" s="98"/>
    </row>
    <row r="354" spans="6:6" x14ac:dyDescent="0.3">
      <c r="F354" s="98"/>
    </row>
    <row r="355" spans="6:6" x14ac:dyDescent="0.3">
      <c r="F355" s="98"/>
    </row>
    <row r="356" spans="6:6" x14ac:dyDescent="0.3">
      <c r="F356" s="98"/>
    </row>
    <row r="357" spans="6:6" x14ac:dyDescent="0.3">
      <c r="F357" s="98"/>
    </row>
    <row r="358" spans="6:6" x14ac:dyDescent="0.3">
      <c r="F358" s="98"/>
    </row>
    <row r="359" spans="6:6" x14ac:dyDescent="0.3">
      <c r="F359" s="98"/>
    </row>
    <row r="360" spans="6:6" x14ac:dyDescent="0.3">
      <c r="F360" s="98"/>
    </row>
    <row r="361" spans="6:6" x14ac:dyDescent="0.3">
      <c r="F361" s="98"/>
    </row>
    <row r="362" spans="6:6" x14ac:dyDescent="0.3">
      <c r="F362" s="98"/>
    </row>
    <row r="363" spans="6:6" x14ac:dyDescent="0.3">
      <c r="F363" s="98"/>
    </row>
    <row r="364" spans="6:6" x14ac:dyDescent="0.3">
      <c r="F364" s="98"/>
    </row>
    <row r="365" spans="6:6" x14ac:dyDescent="0.3">
      <c r="F365" s="98"/>
    </row>
    <row r="366" spans="6:6" x14ac:dyDescent="0.3">
      <c r="F366" s="98"/>
    </row>
    <row r="367" spans="6:6" x14ac:dyDescent="0.3">
      <c r="F367" s="98"/>
    </row>
    <row r="368" spans="6:6" x14ac:dyDescent="0.3">
      <c r="F368" s="98"/>
    </row>
    <row r="369" spans="6:6" x14ac:dyDescent="0.3">
      <c r="F369" s="98"/>
    </row>
    <row r="370" spans="6:6" x14ac:dyDescent="0.3">
      <c r="F370" s="98"/>
    </row>
    <row r="371" spans="6:6" x14ac:dyDescent="0.3">
      <c r="F371" s="98"/>
    </row>
    <row r="372" spans="6:6" x14ac:dyDescent="0.3">
      <c r="F372" s="98"/>
    </row>
    <row r="373" spans="6:6" x14ac:dyDescent="0.3">
      <c r="F373" s="98"/>
    </row>
    <row r="374" spans="6:6" x14ac:dyDescent="0.3">
      <c r="F374" s="98"/>
    </row>
    <row r="375" spans="6:6" x14ac:dyDescent="0.3">
      <c r="F375" s="98"/>
    </row>
    <row r="376" spans="6:6" x14ac:dyDescent="0.3">
      <c r="F376" s="98"/>
    </row>
    <row r="377" spans="6:6" x14ac:dyDescent="0.3">
      <c r="F377" s="98"/>
    </row>
    <row r="378" spans="6:6" x14ac:dyDescent="0.3">
      <c r="F378" s="98"/>
    </row>
    <row r="379" spans="6:6" x14ac:dyDescent="0.3">
      <c r="F379" s="98"/>
    </row>
    <row r="380" spans="6:6" x14ac:dyDescent="0.3">
      <c r="F380" s="98"/>
    </row>
    <row r="381" spans="6:6" x14ac:dyDescent="0.3">
      <c r="F381" s="98"/>
    </row>
    <row r="382" spans="6:6" x14ac:dyDescent="0.3">
      <c r="F382" s="98"/>
    </row>
    <row r="383" spans="6:6" x14ac:dyDescent="0.3">
      <c r="F383" s="98"/>
    </row>
    <row r="384" spans="6:6" x14ac:dyDescent="0.3">
      <c r="F384" s="98"/>
    </row>
    <row r="385" spans="6:6" x14ac:dyDescent="0.3">
      <c r="F385" s="98"/>
    </row>
    <row r="386" spans="6:6" x14ac:dyDescent="0.3">
      <c r="F386" s="98"/>
    </row>
    <row r="387" spans="6:6" x14ac:dyDescent="0.3">
      <c r="F387" s="98"/>
    </row>
    <row r="388" spans="6:6" x14ac:dyDescent="0.3">
      <c r="F388" s="98"/>
    </row>
    <row r="389" spans="6:6" x14ac:dyDescent="0.3">
      <c r="F389" s="98"/>
    </row>
    <row r="390" spans="6:6" x14ac:dyDescent="0.3">
      <c r="F390" s="98"/>
    </row>
    <row r="391" spans="6:6" x14ac:dyDescent="0.3">
      <c r="F391" s="98"/>
    </row>
    <row r="392" spans="6:6" x14ac:dyDescent="0.3">
      <c r="F392" s="98"/>
    </row>
    <row r="393" spans="6:6" x14ac:dyDescent="0.3">
      <c r="F393" s="98"/>
    </row>
    <row r="394" spans="6:6" x14ac:dyDescent="0.3">
      <c r="F394" s="98"/>
    </row>
    <row r="395" spans="6:6" x14ac:dyDescent="0.3">
      <c r="F395" s="98"/>
    </row>
    <row r="396" spans="6:6" x14ac:dyDescent="0.3">
      <c r="F396" s="98"/>
    </row>
    <row r="397" spans="6:6" x14ac:dyDescent="0.3">
      <c r="F397" s="98"/>
    </row>
    <row r="398" spans="6:6" x14ac:dyDescent="0.3">
      <c r="F398" s="98"/>
    </row>
    <row r="399" spans="6:6" x14ac:dyDescent="0.3">
      <c r="F399" s="98"/>
    </row>
    <row r="400" spans="6:6" x14ac:dyDescent="0.3">
      <c r="F400" s="98"/>
    </row>
    <row r="401" spans="6:6" x14ac:dyDescent="0.3">
      <c r="F401" s="98"/>
    </row>
    <row r="402" spans="6:6" x14ac:dyDescent="0.3">
      <c r="F402" s="98"/>
    </row>
    <row r="403" spans="6:6" x14ac:dyDescent="0.3">
      <c r="F403" s="98"/>
    </row>
    <row r="404" spans="6:6" x14ac:dyDescent="0.3">
      <c r="F404" s="98"/>
    </row>
    <row r="405" spans="6:6" x14ac:dyDescent="0.3">
      <c r="F405" s="98"/>
    </row>
    <row r="406" spans="6:6" x14ac:dyDescent="0.3">
      <c r="F406" s="98"/>
    </row>
    <row r="407" spans="6:6" x14ac:dyDescent="0.3">
      <c r="F407" s="98"/>
    </row>
    <row r="408" spans="6:6" x14ac:dyDescent="0.3">
      <c r="F408" s="98"/>
    </row>
    <row r="409" spans="6:6" x14ac:dyDescent="0.3">
      <c r="F409" s="98"/>
    </row>
    <row r="410" spans="6:6" x14ac:dyDescent="0.3">
      <c r="F410" s="98"/>
    </row>
    <row r="411" spans="6:6" x14ac:dyDescent="0.3">
      <c r="F411" s="98"/>
    </row>
    <row r="412" spans="6:6" x14ac:dyDescent="0.3">
      <c r="F412" s="98"/>
    </row>
    <row r="413" spans="6:6" x14ac:dyDescent="0.3">
      <c r="F413" s="98"/>
    </row>
    <row r="414" spans="6:6" x14ac:dyDescent="0.3">
      <c r="F414" s="98"/>
    </row>
    <row r="415" spans="6:6" x14ac:dyDescent="0.3">
      <c r="F415" s="98"/>
    </row>
    <row r="416" spans="6:6" x14ac:dyDescent="0.3">
      <c r="F416" s="98"/>
    </row>
    <row r="417" spans="6:6" x14ac:dyDescent="0.3">
      <c r="F417" s="98"/>
    </row>
    <row r="418" spans="6:6" x14ac:dyDescent="0.3">
      <c r="F418" s="98"/>
    </row>
    <row r="419" spans="6:6" x14ac:dyDescent="0.3">
      <c r="F419" s="98"/>
    </row>
    <row r="420" spans="6:6" x14ac:dyDescent="0.3">
      <c r="F420" s="98"/>
    </row>
    <row r="421" spans="6:6" x14ac:dyDescent="0.3">
      <c r="F421" s="98"/>
    </row>
    <row r="422" spans="6:6" x14ac:dyDescent="0.3">
      <c r="F422" s="98"/>
    </row>
    <row r="423" spans="6:6" x14ac:dyDescent="0.3">
      <c r="F423" s="98"/>
    </row>
    <row r="424" spans="6:6" x14ac:dyDescent="0.3">
      <c r="F424" s="98"/>
    </row>
    <row r="425" spans="6:6" x14ac:dyDescent="0.3">
      <c r="F425" s="98"/>
    </row>
    <row r="426" spans="6:6" x14ac:dyDescent="0.3">
      <c r="F426" s="98"/>
    </row>
    <row r="427" spans="6:6" x14ac:dyDescent="0.3">
      <c r="F427" s="98"/>
    </row>
    <row r="428" spans="6:6" x14ac:dyDescent="0.3">
      <c r="F428" s="98"/>
    </row>
    <row r="429" spans="6:6" x14ac:dyDescent="0.3">
      <c r="F429" s="98"/>
    </row>
    <row r="430" spans="6:6" x14ac:dyDescent="0.3">
      <c r="F430" s="98"/>
    </row>
    <row r="431" spans="6:6" x14ac:dyDescent="0.3">
      <c r="F431" s="98"/>
    </row>
    <row r="432" spans="6:6" x14ac:dyDescent="0.3">
      <c r="F432" s="98"/>
    </row>
    <row r="433" spans="6:6" x14ac:dyDescent="0.3">
      <c r="F433" s="98"/>
    </row>
    <row r="434" spans="6:6" x14ac:dyDescent="0.3">
      <c r="F434" s="98"/>
    </row>
    <row r="435" spans="6:6" x14ac:dyDescent="0.3">
      <c r="F435" s="98"/>
    </row>
    <row r="436" spans="6:6" x14ac:dyDescent="0.3">
      <c r="F436" s="98"/>
    </row>
    <row r="437" spans="6:6" x14ac:dyDescent="0.3">
      <c r="F437" s="98"/>
    </row>
    <row r="438" spans="6:6" x14ac:dyDescent="0.3">
      <c r="F438" s="98"/>
    </row>
    <row r="439" spans="6:6" x14ac:dyDescent="0.3">
      <c r="F439" s="98"/>
    </row>
    <row r="440" spans="6:6" x14ac:dyDescent="0.3">
      <c r="F440" s="98"/>
    </row>
    <row r="441" spans="6:6" x14ac:dyDescent="0.3">
      <c r="F441" s="98"/>
    </row>
    <row r="442" spans="6:6" x14ac:dyDescent="0.3">
      <c r="F442" s="98"/>
    </row>
    <row r="443" spans="6:6" x14ac:dyDescent="0.3">
      <c r="F443" s="98"/>
    </row>
    <row r="444" spans="6:6" x14ac:dyDescent="0.3">
      <c r="F444" s="98"/>
    </row>
    <row r="445" spans="6:6" x14ac:dyDescent="0.3">
      <c r="F445" s="98"/>
    </row>
    <row r="446" spans="6:6" x14ac:dyDescent="0.3">
      <c r="F446" s="98"/>
    </row>
    <row r="447" spans="6:6" x14ac:dyDescent="0.3">
      <c r="F447" s="98"/>
    </row>
    <row r="448" spans="6:6" x14ac:dyDescent="0.3">
      <c r="F448" s="98"/>
    </row>
    <row r="449" spans="6:6" x14ac:dyDescent="0.3">
      <c r="F449" s="98"/>
    </row>
    <row r="450" spans="6:6" x14ac:dyDescent="0.3">
      <c r="F450" s="98"/>
    </row>
    <row r="451" spans="6:6" x14ac:dyDescent="0.3">
      <c r="F451" s="98"/>
    </row>
    <row r="452" spans="6:6" x14ac:dyDescent="0.3">
      <c r="F452" s="98"/>
    </row>
    <row r="453" spans="6:6" x14ac:dyDescent="0.3">
      <c r="F453" s="98"/>
    </row>
    <row r="454" spans="6:6" x14ac:dyDescent="0.3">
      <c r="F454" s="98"/>
    </row>
    <row r="455" spans="6:6" x14ac:dyDescent="0.3">
      <c r="F455" s="98"/>
    </row>
    <row r="456" spans="6:6" x14ac:dyDescent="0.3">
      <c r="F456" s="98"/>
    </row>
    <row r="457" spans="6:6" x14ac:dyDescent="0.3">
      <c r="F457" s="98"/>
    </row>
    <row r="458" spans="6:6" x14ac:dyDescent="0.3">
      <c r="F458" s="98"/>
    </row>
    <row r="459" spans="6:6" x14ac:dyDescent="0.3">
      <c r="F459" s="98"/>
    </row>
    <row r="460" spans="6:6" x14ac:dyDescent="0.3">
      <c r="F460" s="98"/>
    </row>
    <row r="461" spans="6:6" x14ac:dyDescent="0.3">
      <c r="F461" s="98"/>
    </row>
    <row r="462" spans="6:6" x14ac:dyDescent="0.3">
      <c r="F462" s="98"/>
    </row>
    <row r="463" spans="6:6" x14ac:dyDescent="0.3">
      <c r="F463" s="98"/>
    </row>
    <row r="464" spans="6:6" x14ac:dyDescent="0.3">
      <c r="F464" s="98"/>
    </row>
    <row r="465" spans="6:6" x14ac:dyDescent="0.3">
      <c r="F465" s="98"/>
    </row>
    <row r="466" spans="6:6" x14ac:dyDescent="0.3">
      <c r="F466" s="98"/>
    </row>
    <row r="467" spans="6:6" x14ac:dyDescent="0.3">
      <c r="F467" s="98"/>
    </row>
    <row r="468" spans="6:6" x14ac:dyDescent="0.3">
      <c r="F468" s="98"/>
    </row>
    <row r="469" spans="6:6" x14ac:dyDescent="0.3">
      <c r="F469" s="98"/>
    </row>
    <row r="470" spans="6:6" x14ac:dyDescent="0.3">
      <c r="F470" s="98"/>
    </row>
    <row r="471" spans="6:6" x14ac:dyDescent="0.3">
      <c r="F471" s="98"/>
    </row>
    <row r="472" spans="6:6" x14ac:dyDescent="0.3">
      <c r="F472" s="98"/>
    </row>
    <row r="473" spans="6:6" x14ac:dyDescent="0.3">
      <c r="F473" s="98"/>
    </row>
    <row r="474" spans="6:6" x14ac:dyDescent="0.3">
      <c r="F474" s="98"/>
    </row>
    <row r="475" spans="6:6" x14ac:dyDescent="0.3">
      <c r="F475" s="98"/>
    </row>
    <row r="476" spans="6:6" x14ac:dyDescent="0.3">
      <c r="F476" s="98"/>
    </row>
    <row r="477" spans="6:6" x14ac:dyDescent="0.3">
      <c r="F477" s="98"/>
    </row>
    <row r="478" spans="6:6" x14ac:dyDescent="0.3">
      <c r="F478" s="98"/>
    </row>
    <row r="479" spans="6:6" x14ac:dyDescent="0.3">
      <c r="F479" s="98"/>
    </row>
    <row r="480" spans="6:6" x14ac:dyDescent="0.3">
      <c r="F480" s="98"/>
    </row>
    <row r="481" spans="6:6" x14ac:dyDescent="0.3">
      <c r="F481" s="98"/>
    </row>
    <row r="482" spans="6:6" x14ac:dyDescent="0.3">
      <c r="F482" s="98"/>
    </row>
    <row r="483" spans="6:6" x14ac:dyDescent="0.3">
      <c r="F483" s="98"/>
    </row>
    <row r="484" spans="6:6" x14ac:dyDescent="0.3">
      <c r="F484" s="98"/>
    </row>
    <row r="485" spans="6:6" x14ac:dyDescent="0.3">
      <c r="F485" s="98"/>
    </row>
    <row r="486" spans="6:6" x14ac:dyDescent="0.3">
      <c r="F486" s="98"/>
    </row>
    <row r="487" spans="6:6" x14ac:dyDescent="0.3">
      <c r="F487" s="98"/>
    </row>
    <row r="488" spans="6:6" x14ac:dyDescent="0.3">
      <c r="F488" s="98"/>
    </row>
    <row r="489" spans="6:6" x14ac:dyDescent="0.3">
      <c r="F489" s="98"/>
    </row>
    <row r="490" spans="6:6" x14ac:dyDescent="0.3">
      <c r="F490" s="98"/>
    </row>
    <row r="491" spans="6:6" x14ac:dyDescent="0.3">
      <c r="F491" s="98"/>
    </row>
    <row r="492" spans="6:6" x14ac:dyDescent="0.3">
      <c r="F492" s="98"/>
    </row>
    <row r="493" spans="6:6" x14ac:dyDescent="0.3">
      <c r="F493" s="98"/>
    </row>
    <row r="494" spans="6:6" x14ac:dyDescent="0.3">
      <c r="F494" s="98"/>
    </row>
    <row r="495" spans="6:6" x14ac:dyDescent="0.3">
      <c r="F495" s="98"/>
    </row>
    <row r="496" spans="6:6" x14ac:dyDescent="0.3">
      <c r="F496" s="98"/>
    </row>
    <row r="497" spans="6:6" x14ac:dyDescent="0.3">
      <c r="F497" s="98"/>
    </row>
    <row r="498" spans="6:6" x14ac:dyDescent="0.3">
      <c r="F498" s="98"/>
    </row>
    <row r="499" spans="6:6" x14ac:dyDescent="0.3">
      <c r="F499" s="98"/>
    </row>
    <row r="500" spans="6:6" x14ac:dyDescent="0.3">
      <c r="F500" s="98"/>
    </row>
    <row r="501" spans="6:6" x14ac:dyDescent="0.3">
      <c r="F501" s="98"/>
    </row>
    <row r="502" spans="6:6" x14ac:dyDescent="0.3">
      <c r="F502" s="98"/>
    </row>
    <row r="503" spans="6:6" x14ac:dyDescent="0.3">
      <c r="F503" s="98"/>
    </row>
    <row r="504" spans="6:6" x14ac:dyDescent="0.3">
      <c r="F504" s="98"/>
    </row>
    <row r="505" spans="6:6" x14ac:dyDescent="0.3">
      <c r="F505" s="98"/>
    </row>
    <row r="506" spans="6:6" x14ac:dyDescent="0.3">
      <c r="F506" s="98"/>
    </row>
    <row r="507" spans="6:6" x14ac:dyDescent="0.3">
      <c r="F507" s="98"/>
    </row>
    <row r="508" spans="6:6" x14ac:dyDescent="0.3">
      <c r="F508" s="98"/>
    </row>
    <row r="509" spans="6:6" x14ac:dyDescent="0.3">
      <c r="F509" s="98"/>
    </row>
    <row r="510" spans="6:6" x14ac:dyDescent="0.3">
      <c r="F510" s="98"/>
    </row>
    <row r="511" spans="6:6" x14ac:dyDescent="0.3">
      <c r="F511" s="98"/>
    </row>
    <row r="512" spans="6:6" x14ac:dyDescent="0.3">
      <c r="F512" s="98"/>
    </row>
    <row r="513" spans="6:6" x14ac:dyDescent="0.3">
      <c r="F513" s="98"/>
    </row>
    <row r="514" spans="6:6" x14ac:dyDescent="0.3">
      <c r="F514" s="98"/>
    </row>
    <row r="515" spans="6:6" x14ac:dyDescent="0.3">
      <c r="F515" s="98"/>
    </row>
    <row r="516" spans="6:6" x14ac:dyDescent="0.3">
      <c r="F516" s="98"/>
    </row>
    <row r="517" spans="6:6" x14ac:dyDescent="0.3">
      <c r="F517" s="98"/>
    </row>
    <row r="518" spans="6:6" x14ac:dyDescent="0.3">
      <c r="F518" s="98"/>
    </row>
    <row r="519" spans="6:6" x14ac:dyDescent="0.3">
      <c r="F519" s="98"/>
    </row>
    <row r="520" spans="6:6" x14ac:dyDescent="0.3">
      <c r="F520" s="98"/>
    </row>
    <row r="521" spans="6:6" x14ac:dyDescent="0.3">
      <c r="F521" s="98"/>
    </row>
    <row r="522" spans="6:6" x14ac:dyDescent="0.3">
      <c r="F522" s="98"/>
    </row>
    <row r="523" spans="6:6" x14ac:dyDescent="0.3">
      <c r="F523" s="98"/>
    </row>
    <row r="524" spans="6:6" x14ac:dyDescent="0.3">
      <c r="F524" s="98"/>
    </row>
    <row r="525" spans="6:6" x14ac:dyDescent="0.3">
      <c r="F525" s="98"/>
    </row>
    <row r="526" spans="6:6" x14ac:dyDescent="0.3">
      <c r="F526" s="98"/>
    </row>
    <row r="527" spans="6:6" x14ac:dyDescent="0.3">
      <c r="F527" s="98"/>
    </row>
    <row r="528" spans="6:6" x14ac:dyDescent="0.3">
      <c r="F528" s="98"/>
    </row>
    <row r="529" spans="6:6" x14ac:dyDescent="0.3">
      <c r="F529" s="98"/>
    </row>
    <row r="530" spans="6:6" x14ac:dyDescent="0.3">
      <c r="F530" s="98"/>
    </row>
    <row r="531" spans="6:6" x14ac:dyDescent="0.3">
      <c r="F531" s="98"/>
    </row>
    <row r="532" spans="6:6" x14ac:dyDescent="0.3">
      <c r="F532" s="98"/>
    </row>
    <row r="533" spans="6:6" x14ac:dyDescent="0.3">
      <c r="F533" s="98"/>
    </row>
    <row r="534" spans="6:6" x14ac:dyDescent="0.3">
      <c r="F534" s="98"/>
    </row>
    <row r="535" spans="6:6" x14ac:dyDescent="0.3">
      <c r="F535" s="98"/>
    </row>
    <row r="536" spans="6:6" x14ac:dyDescent="0.3">
      <c r="F536" s="98"/>
    </row>
    <row r="537" spans="6:6" x14ac:dyDescent="0.3">
      <c r="F537" s="98"/>
    </row>
    <row r="538" spans="6:6" x14ac:dyDescent="0.3">
      <c r="F538" s="98"/>
    </row>
    <row r="539" spans="6:6" x14ac:dyDescent="0.3">
      <c r="F539" s="98"/>
    </row>
    <row r="540" spans="6:6" x14ac:dyDescent="0.3">
      <c r="F540" s="98"/>
    </row>
    <row r="541" spans="6:6" x14ac:dyDescent="0.3">
      <c r="F541" s="98"/>
    </row>
    <row r="542" spans="6:6" x14ac:dyDescent="0.3">
      <c r="F542" s="98"/>
    </row>
    <row r="543" spans="6:6" x14ac:dyDescent="0.3">
      <c r="F543" s="98"/>
    </row>
    <row r="544" spans="6:6" x14ac:dyDescent="0.3">
      <c r="F544" s="98"/>
    </row>
    <row r="545" spans="6:6" x14ac:dyDescent="0.3">
      <c r="F545" s="98"/>
    </row>
    <row r="546" spans="6:6" x14ac:dyDescent="0.3">
      <c r="F546" s="98"/>
    </row>
    <row r="547" spans="6:6" x14ac:dyDescent="0.3">
      <c r="F547" s="98"/>
    </row>
    <row r="548" spans="6:6" x14ac:dyDescent="0.3">
      <c r="F548" s="98"/>
    </row>
    <row r="549" spans="6:6" x14ac:dyDescent="0.3">
      <c r="F549" s="98"/>
    </row>
    <row r="550" spans="6:6" x14ac:dyDescent="0.3">
      <c r="F550" s="98"/>
    </row>
    <row r="551" spans="6:6" x14ac:dyDescent="0.3">
      <c r="F551" s="98"/>
    </row>
    <row r="552" spans="6:6" x14ac:dyDescent="0.3">
      <c r="F552" s="98"/>
    </row>
    <row r="553" spans="6:6" x14ac:dyDescent="0.3">
      <c r="F553" s="98"/>
    </row>
    <row r="554" spans="6:6" x14ac:dyDescent="0.3">
      <c r="F554" s="98"/>
    </row>
    <row r="555" spans="6:6" x14ac:dyDescent="0.3">
      <c r="F555" s="98"/>
    </row>
    <row r="556" spans="6:6" x14ac:dyDescent="0.3">
      <c r="F556" s="98"/>
    </row>
    <row r="557" spans="6:6" x14ac:dyDescent="0.3">
      <c r="F557" s="98"/>
    </row>
    <row r="558" spans="6:6" x14ac:dyDescent="0.3">
      <c r="F558" s="98"/>
    </row>
    <row r="559" spans="6:6" x14ac:dyDescent="0.3">
      <c r="F559" s="98"/>
    </row>
    <row r="560" spans="6:6" x14ac:dyDescent="0.3">
      <c r="F560" s="98"/>
    </row>
    <row r="561" spans="6:6" x14ac:dyDescent="0.3">
      <c r="F561" s="98"/>
    </row>
    <row r="562" spans="6:6" x14ac:dyDescent="0.3">
      <c r="F562" s="98"/>
    </row>
    <row r="563" spans="6:6" x14ac:dyDescent="0.3">
      <c r="F563" s="98"/>
    </row>
    <row r="564" spans="6:6" x14ac:dyDescent="0.3">
      <c r="F564" s="98"/>
    </row>
    <row r="565" spans="6:6" x14ac:dyDescent="0.3">
      <c r="F565" s="98"/>
    </row>
    <row r="566" spans="6:6" x14ac:dyDescent="0.3">
      <c r="F566" s="98"/>
    </row>
    <row r="567" spans="6:6" x14ac:dyDescent="0.3">
      <c r="F567" s="98"/>
    </row>
    <row r="568" spans="6:6" x14ac:dyDescent="0.3">
      <c r="F568" s="98"/>
    </row>
    <row r="569" spans="6:6" x14ac:dyDescent="0.3">
      <c r="F569" s="98"/>
    </row>
    <row r="570" spans="6:6" x14ac:dyDescent="0.3">
      <c r="F570" s="98"/>
    </row>
    <row r="571" spans="6:6" x14ac:dyDescent="0.3">
      <c r="F571" s="98"/>
    </row>
    <row r="572" spans="6:6" x14ac:dyDescent="0.3">
      <c r="F572" s="98"/>
    </row>
    <row r="573" spans="6:6" x14ac:dyDescent="0.3">
      <c r="F573" s="98"/>
    </row>
    <row r="574" spans="6:6" x14ac:dyDescent="0.3">
      <c r="F574" s="98"/>
    </row>
    <row r="575" spans="6:6" x14ac:dyDescent="0.3">
      <c r="F575" s="98"/>
    </row>
    <row r="576" spans="6:6" x14ac:dyDescent="0.3">
      <c r="F576" s="98"/>
    </row>
    <row r="577" spans="6:6" x14ac:dyDescent="0.3">
      <c r="F577" s="98"/>
    </row>
    <row r="578" spans="6:6" x14ac:dyDescent="0.3">
      <c r="F578" s="98"/>
    </row>
    <row r="579" spans="6:6" x14ac:dyDescent="0.3">
      <c r="F579" s="98"/>
    </row>
    <row r="580" spans="6:6" x14ac:dyDescent="0.3">
      <c r="F580" s="98"/>
    </row>
    <row r="581" spans="6:6" x14ac:dyDescent="0.3">
      <c r="F581" s="98"/>
    </row>
    <row r="582" spans="6:6" x14ac:dyDescent="0.3">
      <c r="F582" s="98"/>
    </row>
    <row r="583" spans="6:6" x14ac:dyDescent="0.3">
      <c r="F583" s="98"/>
    </row>
    <row r="584" spans="6:6" x14ac:dyDescent="0.3">
      <c r="F584" s="98"/>
    </row>
    <row r="585" spans="6:6" x14ac:dyDescent="0.3">
      <c r="F585" s="98"/>
    </row>
    <row r="586" spans="6:6" x14ac:dyDescent="0.3">
      <c r="F586" s="98"/>
    </row>
    <row r="587" spans="6:6" x14ac:dyDescent="0.3">
      <c r="F587" s="98"/>
    </row>
    <row r="588" spans="6:6" x14ac:dyDescent="0.3">
      <c r="F588" s="98"/>
    </row>
    <row r="589" spans="6:6" x14ac:dyDescent="0.3">
      <c r="F589" s="98"/>
    </row>
    <row r="590" spans="6:6" x14ac:dyDescent="0.3">
      <c r="F590" s="98"/>
    </row>
    <row r="591" spans="6:6" x14ac:dyDescent="0.3">
      <c r="F591" s="98"/>
    </row>
    <row r="592" spans="6:6" x14ac:dyDescent="0.3">
      <c r="F592" s="98"/>
    </row>
    <row r="593" spans="6:6" x14ac:dyDescent="0.3">
      <c r="F593" s="98"/>
    </row>
    <row r="594" spans="6:6" x14ac:dyDescent="0.3">
      <c r="F594" s="98"/>
    </row>
    <row r="595" spans="6:6" x14ac:dyDescent="0.3">
      <c r="F595" s="98"/>
    </row>
    <row r="596" spans="6:6" x14ac:dyDescent="0.3">
      <c r="F596" s="98"/>
    </row>
    <row r="597" spans="6:6" x14ac:dyDescent="0.3">
      <c r="F597" s="98"/>
    </row>
    <row r="598" spans="6:6" x14ac:dyDescent="0.3">
      <c r="F598" s="98"/>
    </row>
    <row r="599" spans="6:6" x14ac:dyDescent="0.3">
      <c r="F599" s="98"/>
    </row>
    <row r="600" spans="6:6" x14ac:dyDescent="0.3">
      <c r="F600" s="98"/>
    </row>
    <row r="601" spans="6:6" x14ac:dyDescent="0.3">
      <c r="F601" s="98"/>
    </row>
    <row r="602" spans="6:6" x14ac:dyDescent="0.3">
      <c r="F602" s="98"/>
    </row>
    <row r="603" spans="6:6" x14ac:dyDescent="0.3">
      <c r="F603" s="98"/>
    </row>
    <row r="604" spans="6:6" x14ac:dyDescent="0.3">
      <c r="F604" s="98"/>
    </row>
    <row r="605" spans="6:6" x14ac:dyDescent="0.3">
      <c r="F605" s="98"/>
    </row>
    <row r="606" spans="6:6" x14ac:dyDescent="0.3">
      <c r="F606" s="98"/>
    </row>
    <row r="607" spans="6:6" x14ac:dyDescent="0.3">
      <c r="F607" s="98"/>
    </row>
    <row r="608" spans="6:6" x14ac:dyDescent="0.3">
      <c r="F608" s="98"/>
    </row>
    <row r="609" spans="6:6" x14ac:dyDescent="0.3">
      <c r="F609" s="98"/>
    </row>
    <row r="610" spans="6:6" x14ac:dyDescent="0.3">
      <c r="F610" s="98"/>
    </row>
    <row r="611" spans="6:6" x14ac:dyDescent="0.3">
      <c r="F611" s="98"/>
    </row>
    <row r="612" spans="6:6" x14ac:dyDescent="0.3">
      <c r="F612" s="98"/>
    </row>
    <row r="613" spans="6:6" x14ac:dyDescent="0.3">
      <c r="F613" s="98"/>
    </row>
    <row r="614" spans="6:6" x14ac:dyDescent="0.3">
      <c r="F614" s="98"/>
    </row>
    <row r="615" spans="6:6" x14ac:dyDescent="0.3">
      <c r="F615" s="98"/>
    </row>
    <row r="616" spans="6:6" x14ac:dyDescent="0.3">
      <c r="F616" s="98"/>
    </row>
    <row r="617" spans="6:6" x14ac:dyDescent="0.3">
      <c r="F617" s="98"/>
    </row>
    <row r="618" spans="6:6" x14ac:dyDescent="0.3">
      <c r="F618" s="98"/>
    </row>
    <row r="619" spans="6:6" x14ac:dyDescent="0.3">
      <c r="F619" s="98"/>
    </row>
    <row r="620" spans="6:6" x14ac:dyDescent="0.3">
      <c r="F620" s="98"/>
    </row>
    <row r="621" spans="6:6" x14ac:dyDescent="0.3">
      <c r="F621" s="98"/>
    </row>
    <row r="622" spans="6:6" x14ac:dyDescent="0.3">
      <c r="F622" s="98"/>
    </row>
    <row r="623" spans="6:6" x14ac:dyDescent="0.3">
      <c r="F623" s="98"/>
    </row>
    <row r="624" spans="6:6" x14ac:dyDescent="0.3">
      <c r="F624" s="98"/>
    </row>
    <row r="625" spans="6:6" x14ac:dyDescent="0.3">
      <c r="F625" s="98"/>
    </row>
    <row r="626" spans="6:6" x14ac:dyDescent="0.3">
      <c r="F626" s="98"/>
    </row>
    <row r="627" spans="6:6" x14ac:dyDescent="0.3">
      <c r="F627" s="98"/>
    </row>
    <row r="628" spans="6:6" x14ac:dyDescent="0.3">
      <c r="F628" s="98"/>
    </row>
    <row r="629" spans="6:6" x14ac:dyDescent="0.3">
      <c r="F629" s="98"/>
    </row>
    <row r="630" spans="6:6" x14ac:dyDescent="0.3">
      <c r="F630" s="98"/>
    </row>
    <row r="631" spans="6:6" x14ac:dyDescent="0.3">
      <c r="F631" s="98"/>
    </row>
    <row r="632" spans="6:6" x14ac:dyDescent="0.3">
      <c r="F632" s="98"/>
    </row>
    <row r="633" spans="6:6" x14ac:dyDescent="0.3">
      <c r="F633" s="98"/>
    </row>
    <row r="634" spans="6:6" x14ac:dyDescent="0.3">
      <c r="F634" s="98"/>
    </row>
    <row r="635" spans="6:6" x14ac:dyDescent="0.3">
      <c r="F635" s="98"/>
    </row>
    <row r="636" spans="6:6" x14ac:dyDescent="0.3">
      <c r="F636" s="98"/>
    </row>
    <row r="637" spans="6:6" x14ac:dyDescent="0.3">
      <c r="F637" s="98"/>
    </row>
    <row r="638" spans="6:6" x14ac:dyDescent="0.3">
      <c r="F638" s="98"/>
    </row>
    <row r="639" spans="6:6" x14ac:dyDescent="0.3">
      <c r="F639" s="98"/>
    </row>
    <row r="640" spans="6:6" x14ac:dyDescent="0.3">
      <c r="F640" s="98"/>
    </row>
    <row r="641" spans="6:6" x14ac:dyDescent="0.3">
      <c r="F641" s="98"/>
    </row>
    <row r="642" spans="6:6" x14ac:dyDescent="0.3">
      <c r="F642" s="98"/>
    </row>
    <row r="643" spans="6:6" x14ac:dyDescent="0.3">
      <c r="F643" s="98"/>
    </row>
    <row r="644" spans="6:6" x14ac:dyDescent="0.3">
      <c r="F644" s="98"/>
    </row>
    <row r="645" spans="6:6" x14ac:dyDescent="0.3">
      <c r="F645" s="98"/>
    </row>
    <row r="646" spans="6:6" x14ac:dyDescent="0.3">
      <c r="F646" s="98"/>
    </row>
    <row r="647" spans="6:6" x14ac:dyDescent="0.3">
      <c r="F647" s="98"/>
    </row>
    <row r="648" spans="6:6" x14ac:dyDescent="0.3">
      <c r="F648" s="98"/>
    </row>
    <row r="649" spans="6:6" x14ac:dyDescent="0.3">
      <c r="F649" s="98"/>
    </row>
    <row r="650" spans="6:6" x14ac:dyDescent="0.3">
      <c r="F650" s="98"/>
    </row>
    <row r="651" spans="6:6" x14ac:dyDescent="0.3">
      <c r="F651" s="98"/>
    </row>
    <row r="652" spans="6:6" x14ac:dyDescent="0.3">
      <c r="F652" s="98"/>
    </row>
    <row r="653" spans="6:6" x14ac:dyDescent="0.3">
      <c r="F653" s="98"/>
    </row>
    <row r="654" spans="6:6" x14ac:dyDescent="0.3">
      <c r="F654" s="98"/>
    </row>
    <row r="655" spans="6:6" x14ac:dyDescent="0.3">
      <c r="F655" s="98"/>
    </row>
    <row r="656" spans="6:6" x14ac:dyDescent="0.3">
      <c r="F656" s="98"/>
    </row>
    <row r="657" spans="6:6" x14ac:dyDescent="0.3">
      <c r="F657" s="98"/>
    </row>
    <row r="658" spans="6:6" x14ac:dyDescent="0.3">
      <c r="F658" s="98"/>
    </row>
    <row r="659" spans="6:6" x14ac:dyDescent="0.3">
      <c r="F659" s="98"/>
    </row>
    <row r="660" spans="6:6" x14ac:dyDescent="0.3">
      <c r="F660" s="98"/>
    </row>
    <row r="661" spans="6:6" x14ac:dyDescent="0.3">
      <c r="F661" s="98"/>
    </row>
    <row r="662" spans="6:6" x14ac:dyDescent="0.3">
      <c r="F662" s="98"/>
    </row>
    <row r="663" spans="6:6" x14ac:dyDescent="0.3">
      <c r="F663" s="98"/>
    </row>
    <row r="664" spans="6:6" x14ac:dyDescent="0.3">
      <c r="F664" s="98"/>
    </row>
    <row r="665" spans="6:6" x14ac:dyDescent="0.3">
      <c r="F665" s="98"/>
    </row>
    <row r="666" spans="6:6" x14ac:dyDescent="0.3">
      <c r="F666" s="98"/>
    </row>
    <row r="667" spans="6:6" x14ac:dyDescent="0.3">
      <c r="F667" s="98"/>
    </row>
    <row r="668" spans="6:6" x14ac:dyDescent="0.3">
      <c r="F668" s="98"/>
    </row>
    <row r="669" spans="6:6" x14ac:dyDescent="0.3">
      <c r="F669" s="98"/>
    </row>
    <row r="670" spans="6:6" x14ac:dyDescent="0.3">
      <c r="F670" s="98"/>
    </row>
    <row r="671" spans="6:6" x14ac:dyDescent="0.3">
      <c r="F671" s="98"/>
    </row>
    <row r="672" spans="6:6" x14ac:dyDescent="0.3">
      <c r="F672" s="98"/>
    </row>
    <row r="673" spans="6:6" x14ac:dyDescent="0.3">
      <c r="F673" s="98"/>
    </row>
    <row r="674" spans="6:6" x14ac:dyDescent="0.3">
      <c r="F674" s="98"/>
    </row>
    <row r="675" spans="6:6" x14ac:dyDescent="0.3">
      <c r="F675" s="98"/>
    </row>
    <row r="676" spans="6:6" x14ac:dyDescent="0.3">
      <c r="F676" s="98"/>
    </row>
    <row r="677" spans="6:6" x14ac:dyDescent="0.3">
      <c r="F677" s="98"/>
    </row>
    <row r="678" spans="6:6" x14ac:dyDescent="0.3">
      <c r="F678" s="98"/>
    </row>
    <row r="679" spans="6:6" x14ac:dyDescent="0.3">
      <c r="F679" s="98"/>
    </row>
    <row r="680" spans="6:6" x14ac:dyDescent="0.3">
      <c r="F680" s="98"/>
    </row>
    <row r="681" spans="6:6" x14ac:dyDescent="0.3">
      <c r="F681" s="98"/>
    </row>
    <row r="682" spans="6:6" x14ac:dyDescent="0.3">
      <c r="F682" s="98"/>
    </row>
    <row r="683" spans="6:6" x14ac:dyDescent="0.3">
      <c r="F683" s="98"/>
    </row>
    <row r="684" spans="6:6" x14ac:dyDescent="0.3">
      <c r="F684" s="98"/>
    </row>
    <row r="685" spans="6:6" x14ac:dyDescent="0.3">
      <c r="F685" s="98"/>
    </row>
    <row r="686" spans="6:6" x14ac:dyDescent="0.3">
      <c r="F686" s="98"/>
    </row>
    <row r="687" spans="6:6" x14ac:dyDescent="0.3">
      <c r="F687" s="98"/>
    </row>
    <row r="688" spans="6:6" x14ac:dyDescent="0.3">
      <c r="F688" s="98"/>
    </row>
    <row r="689" spans="6:6" x14ac:dyDescent="0.3">
      <c r="F689" s="98"/>
    </row>
    <row r="690" spans="6:6" x14ac:dyDescent="0.3">
      <c r="F690" s="98"/>
    </row>
    <row r="691" spans="6:6" x14ac:dyDescent="0.3">
      <c r="F691" s="98"/>
    </row>
    <row r="692" spans="6:6" x14ac:dyDescent="0.3">
      <c r="F692" s="98"/>
    </row>
    <row r="693" spans="6:6" x14ac:dyDescent="0.3">
      <c r="F693" s="98"/>
    </row>
    <row r="694" spans="6:6" x14ac:dyDescent="0.3">
      <c r="F694" s="98"/>
    </row>
    <row r="695" spans="6:6" x14ac:dyDescent="0.3">
      <c r="F695" s="98"/>
    </row>
    <row r="696" spans="6:6" x14ac:dyDescent="0.3">
      <c r="F696" s="98"/>
    </row>
    <row r="697" spans="6:6" x14ac:dyDescent="0.3">
      <c r="F697" s="98"/>
    </row>
    <row r="698" spans="6:6" x14ac:dyDescent="0.3">
      <c r="F698" s="98"/>
    </row>
    <row r="699" spans="6:6" x14ac:dyDescent="0.3">
      <c r="F699" s="98"/>
    </row>
    <row r="700" spans="6:6" x14ac:dyDescent="0.3">
      <c r="F700" s="98"/>
    </row>
    <row r="701" spans="6:6" x14ac:dyDescent="0.3">
      <c r="F701" s="98"/>
    </row>
    <row r="702" spans="6:6" x14ac:dyDescent="0.3">
      <c r="F702" s="98"/>
    </row>
    <row r="703" spans="6:6" x14ac:dyDescent="0.3">
      <c r="F703" s="98"/>
    </row>
    <row r="704" spans="6:6" x14ac:dyDescent="0.3">
      <c r="F704" s="98"/>
    </row>
    <row r="705" spans="6:6" x14ac:dyDescent="0.3">
      <c r="F705" s="98"/>
    </row>
    <row r="706" spans="6:6" x14ac:dyDescent="0.3">
      <c r="F706" s="98"/>
    </row>
    <row r="707" spans="6:6" x14ac:dyDescent="0.3">
      <c r="F707" s="98"/>
    </row>
    <row r="708" spans="6:6" x14ac:dyDescent="0.3">
      <c r="F708" s="98"/>
    </row>
    <row r="709" spans="6:6" x14ac:dyDescent="0.3">
      <c r="F709" s="98"/>
    </row>
    <row r="710" spans="6:6" x14ac:dyDescent="0.3">
      <c r="F710" s="98"/>
    </row>
    <row r="711" spans="6:6" x14ac:dyDescent="0.3">
      <c r="F711" s="98"/>
    </row>
    <row r="712" spans="6:6" x14ac:dyDescent="0.3">
      <c r="F712" s="98"/>
    </row>
    <row r="713" spans="6:6" x14ac:dyDescent="0.3">
      <c r="F713" s="98"/>
    </row>
    <row r="714" spans="6:6" x14ac:dyDescent="0.3">
      <c r="F714" s="98"/>
    </row>
    <row r="715" spans="6:6" x14ac:dyDescent="0.3">
      <c r="F715" s="98"/>
    </row>
    <row r="716" spans="6:6" x14ac:dyDescent="0.3">
      <c r="F716" s="98"/>
    </row>
    <row r="717" spans="6:6" x14ac:dyDescent="0.3">
      <c r="F717" s="98"/>
    </row>
    <row r="718" spans="6:6" x14ac:dyDescent="0.3">
      <c r="F718" s="98"/>
    </row>
    <row r="719" spans="6:6" x14ac:dyDescent="0.3">
      <c r="F719" s="98"/>
    </row>
    <row r="720" spans="6:6" x14ac:dyDescent="0.3">
      <c r="F720" s="98"/>
    </row>
    <row r="721" spans="6:6" x14ac:dyDescent="0.3">
      <c r="F721" s="98"/>
    </row>
    <row r="722" spans="6:6" x14ac:dyDescent="0.3">
      <c r="F722" s="98"/>
    </row>
    <row r="723" spans="6:6" x14ac:dyDescent="0.3">
      <c r="F723" s="98"/>
    </row>
    <row r="724" spans="6:6" x14ac:dyDescent="0.3">
      <c r="F724" s="98"/>
    </row>
    <row r="725" spans="6:6" x14ac:dyDescent="0.3">
      <c r="F725" s="98"/>
    </row>
    <row r="726" spans="6:6" x14ac:dyDescent="0.3">
      <c r="F726" s="98"/>
    </row>
    <row r="727" spans="6:6" x14ac:dyDescent="0.3">
      <c r="F727" s="98"/>
    </row>
    <row r="728" spans="6:6" x14ac:dyDescent="0.3">
      <c r="F728" s="98"/>
    </row>
    <row r="729" spans="6:6" x14ac:dyDescent="0.3">
      <c r="F729" s="98"/>
    </row>
    <row r="730" spans="6:6" x14ac:dyDescent="0.3">
      <c r="F730" s="98"/>
    </row>
    <row r="731" spans="6:6" x14ac:dyDescent="0.3">
      <c r="F731" s="98"/>
    </row>
    <row r="732" spans="6:6" x14ac:dyDescent="0.3">
      <c r="F732" s="98"/>
    </row>
    <row r="733" spans="6:6" x14ac:dyDescent="0.3">
      <c r="F733" s="98"/>
    </row>
    <row r="734" spans="6:6" x14ac:dyDescent="0.3">
      <c r="F734" s="98"/>
    </row>
    <row r="735" spans="6:6" x14ac:dyDescent="0.3">
      <c r="F735" s="98"/>
    </row>
    <row r="736" spans="6:6" x14ac:dyDescent="0.3">
      <c r="F736" s="98"/>
    </row>
    <row r="737" spans="6:6" x14ac:dyDescent="0.3">
      <c r="F737" s="98"/>
    </row>
    <row r="738" spans="6:6" x14ac:dyDescent="0.3">
      <c r="F738" s="98"/>
    </row>
    <row r="739" spans="6:6" x14ac:dyDescent="0.3">
      <c r="F739" s="98"/>
    </row>
    <row r="740" spans="6:6" x14ac:dyDescent="0.3">
      <c r="F740" s="98"/>
    </row>
    <row r="741" spans="6:6" x14ac:dyDescent="0.3">
      <c r="F741" s="98"/>
    </row>
    <row r="742" spans="6:6" x14ac:dyDescent="0.3">
      <c r="F742" s="98"/>
    </row>
    <row r="743" spans="6:6" x14ac:dyDescent="0.3">
      <c r="F743" s="98"/>
    </row>
    <row r="744" spans="6:6" x14ac:dyDescent="0.3">
      <c r="F744" s="98"/>
    </row>
    <row r="745" spans="6:6" x14ac:dyDescent="0.3">
      <c r="F745" s="98"/>
    </row>
    <row r="746" spans="6:6" x14ac:dyDescent="0.3">
      <c r="F746" s="98"/>
    </row>
    <row r="747" spans="6:6" x14ac:dyDescent="0.3">
      <c r="F747" s="98"/>
    </row>
    <row r="748" spans="6:6" x14ac:dyDescent="0.3">
      <c r="F748" s="98"/>
    </row>
    <row r="749" spans="6:6" x14ac:dyDescent="0.3">
      <c r="F749" s="98"/>
    </row>
    <row r="750" spans="6:6" x14ac:dyDescent="0.3">
      <c r="F750" s="98"/>
    </row>
    <row r="751" spans="6:6" x14ac:dyDescent="0.3">
      <c r="F751" s="98"/>
    </row>
    <row r="752" spans="6:6" x14ac:dyDescent="0.3">
      <c r="F752" s="98"/>
    </row>
    <row r="753" spans="6:6" x14ac:dyDescent="0.3">
      <c r="F753" s="98"/>
    </row>
    <row r="754" spans="6:6" x14ac:dyDescent="0.3">
      <c r="F754" s="98"/>
    </row>
    <row r="755" spans="6:6" x14ac:dyDescent="0.3">
      <c r="F755" s="98"/>
    </row>
    <row r="756" spans="6:6" x14ac:dyDescent="0.3">
      <c r="F756" s="98"/>
    </row>
    <row r="757" spans="6:6" x14ac:dyDescent="0.3">
      <c r="F757" s="98"/>
    </row>
    <row r="758" spans="6:6" x14ac:dyDescent="0.3">
      <c r="F758" s="98"/>
    </row>
    <row r="759" spans="6:6" x14ac:dyDescent="0.3">
      <c r="F759" s="98"/>
    </row>
    <row r="760" spans="6:6" x14ac:dyDescent="0.3">
      <c r="F760" s="98"/>
    </row>
    <row r="761" spans="6:6" x14ac:dyDescent="0.3">
      <c r="F761" s="98"/>
    </row>
    <row r="762" spans="6:6" x14ac:dyDescent="0.3">
      <c r="F762" s="98"/>
    </row>
    <row r="763" spans="6:6" x14ac:dyDescent="0.3">
      <c r="F763" s="98"/>
    </row>
    <row r="764" spans="6:6" x14ac:dyDescent="0.3">
      <c r="F764" s="98"/>
    </row>
    <row r="765" spans="6:6" x14ac:dyDescent="0.3">
      <c r="F765" s="98"/>
    </row>
    <row r="766" spans="6:6" x14ac:dyDescent="0.3">
      <c r="F766" s="98"/>
    </row>
    <row r="767" spans="6:6" x14ac:dyDescent="0.3">
      <c r="F767" s="98"/>
    </row>
    <row r="768" spans="6:6" x14ac:dyDescent="0.3">
      <c r="F768" s="98"/>
    </row>
    <row r="769" spans="6:6" x14ac:dyDescent="0.3">
      <c r="F769" s="98"/>
    </row>
    <row r="770" spans="6:6" x14ac:dyDescent="0.3">
      <c r="F770" s="98"/>
    </row>
    <row r="771" spans="6:6" x14ac:dyDescent="0.3">
      <c r="F771" s="98"/>
    </row>
    <row r="772" spans="6:6" x14ac:dyDescent="0.3">
      <c r="F772" s="98"/>
    </row>
    <row r="773" spans="6:6" x14ac:dyDescent="0.3">
      <c r="F773" s="98"/>
    </row>
    <row r="774" spans="6:6" x14ac:dyDescent="0.3">
      <c r="F774" s="98"/>
    </row>
    <row r="775" spans="6:6" x14ac:dyDescent="0.3">
      <c r="F775" s="98"/>
    </row>
    <row r="776" spans="6:6" x14ac:dyDescent="0.3">
      <c r="F776" s="98"/>
    </row>
    <row r="777" spans="6:6" x14ac:dyDescent="0.3">
      <c r="F777" s="98"/>
    </row>
    <row r="778" spans="6:6" x14ac:dyDescent="0.3">
      <c r="F778" s="98"/>
    </row>
    <row r="779" spans="6:6" x14ac:dyDescent="0.3">
      <c r="F779" s="98"/>
    </row>
    <row r="780" spans="6:6" x14ac:dyDescent="0.3">
      <c r="F780" s="98"/>
    </row>
    <row r="781" spans="6:6" x14ac:dyDescent="0.3">
      <c r="F781" s="98"/>
    </row>
    <row r="782" spans="6:6" x14ac:dyDescent="0.3">
      <c r="F782" s="98"/>
    </row>
    <row r="783" spans="6:6" x14ac:dyDescent="0.3">
      <c r="F783" s="98"/>
    </row>
    <row r="784" spans="6:6" x14ac:dyDescent="0.3">
      <c r="F784" s="98"/>
    </row>
    <row r="785" spans="6:6" x14ac:dyDescent="0.3">
      <c r="F785" s="98"/>
    </row>
    <row r="786" spans="6:6" x14ac:dyDescent="0.3">
      <c r="F786" s="98"/>
    </row>
    <row r="787" spans="6:6" x14ac:dyDescent="0.3">
      <c r="F787" s="98"/>
    </row>
    <row r="788" spans="6:6" x14ac:dyDescent="0.3">
      <c r="F788" s="98"/>
    </row>
    <row r="789" spans="6:6" x14ac:dyDescent="0.3">
      <c r="F789" s="98"/>
    </row>
    <row r="790" spans="6:6" x14ac:dyDescent="0.3">
      <c r="F790" s="98"/>
    </row>
    <row r="791" spans="6:6" x14ac:dyDescent="0.3">
      <c r="F791" s="98"/>
    </row>
    <row r="792" spans="6:6" x14ac:dyDescent="0.3">
      <c r="F792" s="98"/>
    </row>
    <row r="793" spans="6:6" x14ac:dyDescent="0.3">
      <c r="F793" s="98"/>
    </row>
    <row r="794" spans="6:6" x14ac:dyDescent="0.3">
      <c r="F794" s="98"/>
    </row>
    <row r="795" spans="6:6" x14ac:dyDescent="0.3">
      <c r="F795" s="98"/>
    </row>
    <row r="796" spans="6:6" x14ac:dyDescent="0.3">
      <c r="F796" s="98"/>
    </row>
    <row r="797" spans="6:6" x14ac:dyDescent="0.3">
      <c r="F797" s="98"/>
    </row>
    <row r="798" spans="6:6" x14ac:dyDescent="0.3">
      <c r="F798" s="98"/>
    </row>
    <row r="799" spans="6:6" x14ac:dyDescent="0.3">
      <c r="F799" s="98"/>
    </row>
    <row r="800" spans="6:6" x14ac:dyDescent="0.3">
      <c r="F800" s="98"/>
    </row>
    <row r="801" spans="6:6" x14ac:dyDescent="0.3">
      <c r="F801" s="98"/>
    </row>
    <row r="802" spans="6:6" x14ac:dyDescent="0.3">
      <c r="F802" s="98"/>
    </row>
    <row r="803" spans="6:6" x14ac:dyDescent="0.3">
      <c r="F803" s="98"/>
    </row>
    <row r="804" spans="6:6" x14ac:dyDescent="0.3">
      <c r="F804" s="98"/>
    </row>
    <row r="805" spans="6:6" x14ac:dyDescent="0.3">
      <c r="F805" s="98"/>
    </row>
    <row r="806" spans="6:6" x14ac:dyDescent="0.3">
      <c r="F806" s="98"/>
    </row>
    <row r="807" spans="6:6" x14ac:dyDescent="0.3">
      <c r="F807" s="98"/>
    </row>
    <row r="808" spans="6:6" x14ac:dyDescent="0.3">
      <c r="F808" s="98"/>
    </row>
    <row r="809" spans="6:6" x14ac:dyDescent="0.3">
      <c r="F809" s="98"/>
    </row>
    <row r="810" spans="6:6" x14ac:dyDescent="0.3">
      <c r="F810" s="98"/>
    </row>
    <row r="811" spans="6:6" x14ac:dyDescent="0.3">
      <c r="F811" s="98"/>
    </row>
    <row r="812" spans="6:6" x14ac:dyDescent="0.3">
      <c r="F812" s="98"/>
    </row>
    <row r="813" spans="6:6" x14ac:dyDescent="0.3">
      <c r="F813" s="98"/>
    </row>
    <row r="814" spans="6:6" x14ac:dyDescent="0.3">
      <c r="F814" s="98"/>
    </row>
    <row r="815" spans="6:6" x14ac:dyDescent="0.3">
      <c r="F815" s="98"/>
    </row>
    <row r="816" spans="6:6" x14ac:dyDescent="0.3">
      <c r="F816" s="98"/>
    </row>
    <row r="817" spans="6:6" x14ac:dyDescent="0.3">
      <c r="F817" s="98"/>
    </row>
    <row r="818" spans="6:6" x14ac:dyDescent="0.3">
      <c r="F818" s="98"/>
    </row>
    <row r="819" spans="6:6" x14ac:dyDescent="0.3">
      <c r="F819" s="98"/>
    </row>
    <row r="820" spans="6:6" x14ac:dyDescent="0.3">
      <c r="F820" s="98"/>
    </row>
    <row r="821" spans="6:6" x14ac:dyDescent="0.3">
      <c r="F821" s="98"/>
    </row>
    <row r="822" spans="6:6" x14ac:dyDescent="0.3">
      <c r="F822" s="98"/>
    </row>
    <row r="823" spans="6:6" x14ac:dyDescent="0.3">
      <c r="F823" s="98"/>
    </row>
    <row r="824" spans="6:6" x14ac:dyDescent="0.3">
      <c r="F824" s="98"/>
    </row>
    <row r="825" spans="6:6" x14ac:dyDescent="0.3">
      <c r="F825" s="98"/>
    </row>
    <row r="826" spans="6:6" x14ac:dyDescent="0.3">
      <c r="F826" s="98"/>
    </row>
    <row r="827" spans="6:6" x14ac:dyDescent="0.3">
      <c r="F827" s="98"/>
    </row>
    <row r="828" spans="6:6" x14ac:dyDescent="0.3">
      <c r="F828" s="98"/>
    </row>
    <row r="829" spans="6:6" x14ac:dyDescent="0.3">
      <c r="F829" s="98"/>
    </row>
    <row r="830" spans="6:6" x14ac:dyDescent="0.3">
      <c r="F830" s="98"/>
    </row>
    <row r="831" spans="6:6" x14ac:dyDescent="0.3">
      <c r="F831" s="98"/>
    </row>
    <row r="832" spans="6:6" x14ac:dyDescent="0.3">
      <c r="F832" s="98"/>
    </row>
    <row r="833" spans="6:6" x14ac:dyDescent="0.3">
      <c r="F833" s="98"/>
    </row>
    <row r="834" spans="6:6" x14ac:dyDescent="0.3">
      <c r="F834" s="98"/>
    </row>
    <row r="835" spans="6:6" x14ac:dyDescent="0.3">
      <c r="F835" s="98"/>
    </row>
    <row r="836" spans="6:6" x14ac:dyDescent="0.3">
      <c r="F836" s="98"/>
    </row>
    <row r="837" spans="6:6" x14ac:dyDescent="0.3">
      <c r="F837" s="98"/>
    </row>
    <row r="838" spans="6:6" x14ac:dyDescent="0.3">
      <c r="F838" s="98"/>
    </row>
    <row r="839" spans="6:6" x14ac:dyDescent="0.3">
      <c r="F839" s="98"/>
    </row>
    <row r="840" spans="6:6" x14ac:dyDescent="0.3">
      <c r="F840" s="98"/>
    </row>
    <row r="841" spans="6:6" x14ac:dyDescent="0.3">
      <c r="F841" s="98"/>
    </row>
    <row r="842" spans="6:6" x14ac:dyDescent="0.3">
      <c r="F842" s="98"/>
    </row>
    <row r="843" spans="6:6" x14ac:dyDescent="0.3">
      <c r="F843" s="98"/>
    </row>
    <row r="844" spans="6:6" x14ac:dyDescent="0.3">
      <c r="F844" s="98"/>
    </row>
    <row r="845" spans="6:6" x14ac:dyDescent="0.3">
      <c r="F845" s="98"/>
    </row>
    <row r="846" spans="6:6" x14ac:dyDescent="0.3">
      <c r="F846" s="98"/>
    </row>
    <row r="847" spans="6:6" x14ac:dyDescent="0.3">
      <c r="F847" s="98"/>
    </row>
    <row r="848" spans="6:6" x14ac:dyDescent="0.3">
      <c r="F848" s="98"/>
    </row>
    <row r="849" spans="6:6" x14ac:dyDescent="0.3">
      <c r="F849" s="98"/>
    </row>
    <row r="850" spans="6:6" x14ac:dyDescent="0.3">
      <c r="F850" s="98"/>
    </row>
    <row r="851" spans="6:6" x14ac:dyDescent="0.3">
      <c r="F851" s="98"/>
    </row>
    <row r="852" spans="6:6" x14ac:dyDescent="0.3">
      <c r="F852" s="98"/>
    </row>
    <row r="853" spans="6:6" x14ac:dyDescent="0.3">
      <c r="F853" s="98"/>
    </row>
    <row r="854" spans="6:6" x14ac:dyDescent="0.3">
      <c r="F854" s="98"/>
    </row>
    <row r="855" spans="6:6" x14ac:dyDescent="0.3">
      <c r="F855" s="98"/>
    </row>
    <row r="856" spans="6:6" x14ac:dyDescent="0.3">
      <c r="F856" s="98"/>
    </row>
    <row r="857" spans="6:6" x14ac:dyDescent="0.3">
      <c r="F857" s="98"/>
    </row>
    <row r="858" spans="6:6" x14ac:dyDescent="0.3">
      <c r="F858" s="98"/>
    </row>
    <row r="859" spans="6:6" x14ac:dyDescent="0.3">
      <c r="F859" s="98"/>
    </row>
    <row r="860" spans="6:6" x14ac:dyDescent="0.3">
      <c r="F860" s="98"/>
    </row>
    <row r="861" spans="6:6" x14ac:dyDescent="0.3">
      <c r="F861" s="98"/>
    </row>
    <row r="862" spans="6:6" x14ac:dyDescent="0.3">
      <c r="F862" s="98"/>
    </row>
    <row r="863" spans="6:6" x14ac:dyDescent="0.3">
      <c r="F863" s="98"/>
    </row>
    <row r="864" spans="6:6" x14ac:dyDescent="0.3">
      <c r="F864" s="98"/>
    </row>
    <row r="865" spans="6:6" x14ac:dyDescent="0.3">
      <c r="F865" s="98"/>
    </row>
    <row r="866" spans="6:6" x14ac:dyDescent="0.3">
      <c r="F866" s="98"/>
    </row>
    <row r="867" spans="6:6" x14ac:dyDescent="0.3">
      <c r="F867" s="98"/>
    </row>
    <row r="868" spans="6:6" x14ac:dyDescent="0.3">
      <c r="F868" s="98"/>
    </row>
    <row r="869" spans="6:6" x14ac:dyDescent="0.3">
      <c r="F869" s="98"/>
    </row>
    <row r="870" spans="6:6" x14ac:dyDescent="0.3">
      <c r="F870" s="98"/>
    </row>
    <row r="871" spans="6:6" x14ac:dyDescent="0.3">
      <c r="F871" s="98"/>
    </row>
    <row r="872" spans="6:6" x14ac:dyDescent="0.3">
      <c r="F872" s="98"/>
    </row>
    <row r="873" spans="6:6" x14ac:dyDescent="0.3">
      <c r="F873" s="98"/>
    </row>
    <row r="874" spans="6:6" x14ac:dyDescent="0.3">
      <c r="F874" s="98"/>
    </row>
    <row r="875" spans="6:6" x14ac:dyDescent="0.3">
      <c r="F875" s="98"/>
    </row>
    <row r="876" spans="6:6" x14ac:dyDescent="0.3">
      <c r="F876" s="98"/>
    </row>
    <row r="877" spans="6:6" x14ac:dyDescent="0.3">
      <c r="F877" s="98"/>
    </row>
    <row r="878" spans="6:6" x14ac:dyDescent="0.3">
      <c r="F878" s="98"/>
    </row>
    <row r="879" spans="6:6" x14ac:dyDescent="0.3">
      <c r="F879" s="98"/>
    </row>
    <row r="880" spans="6:6" x14ac:dyDescent="0.3">
      <c r="F880" s="98"/>
    </row>
    <row r="881" spans="6:6" x14ac:dyDescent="0.3">
      <c r="F881" s="98"/>
    </row>
    <row r="882" spans="6:6" x14ac:dyDescent="0.3">
      <c r="F882" s="98"/>
    </row>
    <row r="883" spans="6:6" x14ac:dyDescent="0.3">
      <c r="F883" s="98"/>
    </row>
    <row r="884" spans="6:6" x14ac:dyDescent="0.3">
      <c r="F884" s="98"/>
    </row>
    <row r="885" spans="6:6" x14ac:dyDescent="0.3">
      <c r="F885" s="98"/>
    </row>
    <row r="886" spans="6:6" x14ac:dyDescent="0.3">
      <c r="F886" s="98"/>
    </row>
    <row r="887" spans="6:6" x14ac:dyDescent="0.3">
      <c r="F887" s="98"/>
    </row>
    <row r="888" spans="6:6" x14ac:dyDescent="0.3">
      <c r="F888" s="98"/>
    </row>
    <row r="889" spans="6:6" x14ac:dyDescent="0.3">
      <c r="F889" s="98"/>
    </row>
    <row r="890" spans="6:6" x14ac:dyDescent="0.3">
      <c r="F890" s="98"/>
    </row>
    <row r="891" spans="6:6" x14ac:dyDescent="0.3">
      <c r="F891" s="98"/>
    </row>
    <row r="892" spans="6:6" x14ac:dyDescent="0.3">
      <c r="F892" s="98"/>
    </row>
    <row r="893" spans="6:6" x14ac:dyDescent="0.3">
      <c r="F893" s="98"/>
    </row>
    <row r="894" spans="6:6" x14ac:dyDescent="0.3">
      <c r="F894" s="98"/>
    </row>
    <row r="895" spans="6:6" x14ac:dyDescent="0.3">
      <c r="F895" s="98"/>
    </row>
    <row r="896" spans="6:6" x14ac:dyDescent="0.3">
      <c r="F896" s="98"/>
    </row>
    <row r="897" spans="6:6" x14ac:dyDescent="0.3">
      <c r="F897" s="98"/>
    </row>
    <row r="898" spans="6:6" x14ac:dyDescent="0.3">
      <c r="F898" s="98"/>
    </row>
    <row r="899" spans="6:6" x14ac:dyDescent="0.3">
      <c r="F899" s="98"/>
    </row>
    <row r="900" spans="6:6" x14ac:dyDescent="0.3">
      <c r="F900" s="98"/>
    </row>
    <row r="901" spans="6:6" x14ac:dyDescent="0.3">
      <c r="F901" s="98"/>
    </row>
    <row r="902" spans="6:6" x14ac:dyDescent="0.3">
      <c r="F902" s="98"/>
    </row>
    <row r="903" spans="6:6" x14ac:dyDescent="0.3">
      <c r="F903" s="98"/>
    </row>
    <row r="904" spans="6:6" x14ac:dyDescent="0.3">
      <c r="F904" s="98"/>
    </row>
    <row r="905" spans="6:6" x14ac:dyDescent="0.3">
      <c r="F905" s="98"/>
    </row>
    <row r="906" spans="6:6" x14ac:dyDescent="0.3">
      <c r="F906" s="98"/>
    </row>
    <row r="907" spans="6:6" x14ac:dyDescent="0.3">
      <c r="F907" s="98"/>
    </row>
    <row r="908" spans="6:6" x14ac:dyDescent="0.3">
      <c r="F908" s="98"/>
    </row>
    <row r="909" spans="6:6" x14ac:dyDescent="0.3">
      <c r="F909" s="98"/>
    </row>
    <row r="910" spans="6:6" x14ac:dyDescent="0.3">
      <c r="F910" s="98"/>
    </row>
    <row r="911" spans="6:6" x14ac:dyDescent="0.3">
      <c r="F911" s="98"/>
    </row>
    <row r="912" spans="6:6" x14ac:dyDescent="0.3">
      <c r="F912" s="98"/>
    </row>
    <row r="913" spans="6:6" x14ac:dyDescent="0.3">
      <c r="F913" s="98"/>
    </row>
    <row r="914" spans="6:6" x14ac:dyDescent="0.3">
      <c r="F914" s="98"/>
    </row>
    <row r="915" spans="6:6" x14ac:dyDescent="0.3">
      <c r="F915" s="98"/>
    </row>
    <row r="916" spans="6:6" x14ac:dyDescent="0.3">
      <c r="F916" s="98"/>
    </row>
    <row r="917" spans="6:6" x14ac:dyDescent="0.3">
      <c r="F917" s="98"/>
    </row>
    <row r="918" spans="6:6" x14ac:dyDescent="0.3">
      <c r="F918" s="98"/>
    </row>
    <row r="919" spans="6:6" x14ac:dyDescent="0.3">
      <c r="F919" s="98"/>
    </row>
    <row r="920" spans="6:6" x14ac:dyDescent="0.3">
      <c r="F920" s="98"/>
    </row>
    <row r="921" spans="6:6" x14ac:dyDescent="0.3">
      <c r="F921" s="98"/>
    </row>
    <row r="922" spans="6:6" x14ac:dyDescent="0.3">
      <c r="F922" s="98"/>
    </row>
    <row r="923" spans="6:6" x14ac:dyDescent="0.3">
      <c r="F923" s="98"/>
    </row>
    <row r="924" spans="6:6" x14ac:dyDescent="0.3">
      <c r="F924" s="98"/>
    </row>
    <row r="925" spans="6:6" x14ac:dyDescent="0.3">
      <c r="F925" s="98"/>
    </row>
    <row r="926" spans="6:6" x14ac:dyDescent="0.3">
      <c r="F926" s="98"/>
    </row>
    <row r="927" spans="6:6" x14ac:dyDescent="0.3">
      <c r="F927" s="98"/>
    </row>
    <row r="928" spans="6:6" x14ac:dyDescent="0.3">
      <c r="F928" s="98"/>
    </row>
    <row r="929" spans="6:6" x14ac:dyDescent="0.3">
      <c r="F929" s="98"/>
    </row>
    <row r="930" spans="6:6" x14ac:dyDescent="0.3">
      <c r="F930" s="98"/>
    </row>
    <row r="931" spans="6:6" x14ac:dyDescent="0.3">
      <c r="F931" s="98"/>
    </row>
    <row r="932" spans="6:6" x14ac:dyDescent="0.3">
      <c r="F932" s="98"/>
    </row>
    <row r="933" spans="6:6" x14ac:dyDescent="0.3">
      <c r="F933" s="98"/>
    </row>
    <row r="934" spans="6:6" x14ac:dyDescent="0.3">
      <c r="F934" s="98"/>
    </row>
    <row r="935" spans="6:6" x14ac:dyDescent="0.3">
      <c r="F935" s="98"/>
    </row>
    <row r="936" spans="6:6" x14ac:dyDescent="0.3">
      <c r="F936" s="98"/>
    </row>
    <row r="937" spans="6:6" x14ac:dyDescent="0.3">
      <c r="F937" s="98"/>
    </row>
    <row r="938" spans="6:6" x14ac:dyDescent="0.3">
      <c r="F938" s="98"/>
    </row>
    <row r="939" spans="6:6" x14ac:dyDescent="0.3">
      <c r="F939" s="98"/>
    </row>
    <row r="940" spans="6:6" x14ac:dyDescent="0.3">
      <c r="F940" s="98"/>
    </row>
    <row r="941" spans="6:6" x14ac:dyDescent="0.3">
      <c r="F941" s="98"/>
    </row>
    <row r="942" spans="6:6" x14ac:dyDescent="0.3">
      <c r="F942" s="98"/>
    </row>
    <row r="943" spans="6:6" x14ac:dyDescent="0.3">
      <c r="F943" s="98"/>
    </row>
    <row r="944" spans="6:6" x14ac:dyDescent="0.3">
      <c r="F944" s="98"/>
    </row>
    <row r="945" spans="6:6" x14ac:dyDescent="0.3">
      <c r="F945" s="98"/>
    </row>
    <row r="946" spans="6:6" x14ac:dyDescent="0.3">
      <c r="F946" s="98"/>
    </row>
    <row r="947" spans="6:6" x14ac:dyDescent="0.3">
      <c r="F947" s="98"/>
    </row>
    <row r="948" spans="6:6" x14ac:dyDescent="0.3">
      <c r="F948" s="98"/>
    </row>
    <row r="949" spans="6:6" x14ac:dyDescent="0.3">
      <c r="F949" s="98"/>
    </row>
    <row r="950" spans="6:6" x14ac:dyDescent="0.3">
      <c r="F950" s="98"/>
    </row>
    <row r="951" spans="6:6" x14ac:dyDescent="0.3">
      <c r="F951" s="98"/>
    </row>
    <row r="952" spans="6:6" x14ac:dyDescent="0.3">
      <c r="F952" s="98"/>
    </row>
    <row r="953" spans="6:6" x14ac:dyDescent="0.3">
      <c r="F953" s="98"/>
    </row>
    <row r="954" spans="6:6" x14ac:dyDescent="0.3">
      <c r="F954" s="98"/>
    </row>
    <row r="955" spans="6:6" x14ac:dyDescent="0.3">
      <c r="F955" s="98"/>
    </row>
    <row r="956" spans="6:6" x14ac:dyDescent="0.3">
      <c r="F956" s="98"/>
    </row>
    <row r="957" spans="6:6" x14ac:dyDescent="0.3">
      <c r="F957" s="98"/>
    </row>
    <row r="958" spans="6:6" x14ac:dyDescent="0.3">
      <c r="F958" s="98"/>
    </row>
    <row r="959" spans="6:6" x14ac:dyDescent="0.3">
      <c r="F959" s="98"/>
    </row>
    <row r="960" spans="6:6" x14ac:dyDescent="0.3">
      <c r="F960" s="98"/>
    </row>
    <row r="961" spans="6:6" x14ac:dyDescent="0.3">
      <c r="F961" s="98"/>
    </row>
    <row r="962" spans="6:6" x14ac:dyDescent="0.3">
      <c r="F962" s="98"/>
    </row>
    <row r="963" spans="6:6" x14ac:dyDescent="0.3">
      <c r="F963" s="98"/>
    </row>
    <row r="964" spans="6:6" x14ac:dyDescent="0.3">
      <c r="F964" s="98"/>
    </row>
    <row r="965" spans="6:6" x14ac:dyDescent="0.3">
      <c r="F965" s="98"/>
    </row>
    <row r="966" spans="6:6" x14ac:dyDescent="0.3">
      <c r="F966" s="98"/>
    </row>
    <row r="967" spans="6:6" x14ac:dyDescent="0.3">
      <c r="F967" s="98"/>
    </row>
    <row r="968" spans="6:6" x14ac:dyDescent="0.3">
      <c r="F968" s="98"/>
    </row>
    <row r="969" spans="6:6" x14ac:dyDescent="0.3">
      <c r="F969" s="98"/>
    </row>
    <row r="970" spans="6:6" x14ac:dyDescent="0.3">
      <c r="F970" s="98"/>
    </row>
    <row r="971" spans="6:6" x14ac:dyDescent="0.3">
      <c r="F971" s="98"/>
    </row>
    <row r="972" spans="6:6" x14ac:dyDescent="0.3">
      <c r="F972" s="98"/>
    </row>
    <row r="973" spans="6:6" x14ac:dyDescent="0.3">
      <c r="F973" s="98"/>
    </row>
    <row r="974" spans="6:6" x14ac:dyDescent="0.3">
      <c r="F974" s="98"/>
    </row>
    <row r="975" spans="6:6" x14ac:dyDescent="0.3">
      <c r="F975" s="98"/>
    </row>
    <row r="976" spans="6:6" x14ac:dyDescent="0.3">
      <c r="F976" s="98"/>
    </row>
    <row r="977" spans="6:6" x14ac:dyDescent="0.3">
      <c r="F977" s="98"/>
    </row>
    <row r="978" spans="6:6" x14ac:dyDescent="0.3">
      <c r="F978" s="98"/>
    </row>
    <row r="979" spans="6:6" x14ac:dyDescent="0.3">
      <c r="F979" s="98"/>
    </row>
    <row r="980" spans="6:6" x14ac:dyDescent="0.3">
      <c r="F980" s="98"/>
    </row>
    <row r="981" spans="6:6" x14ac:dyDescent="0.3">
      <c r="F981" s="98"/>
    </row>
    <row r="982" spans="6:6" x14ac:dyDescent="0.3">
      <c r="F982" s="98"/>
    </row>
    <row r="983" spans="6:6" x14ac:dyDescent="0.3">
      <c r="F983" s="98"/>
    </row>
    <row r="984" spans="6:6" x14ac:dyDescent="0.3">
      <c r="F984" s="98"/>
    </row>
    <row r="985" spans="6:6" x14ac:dyDescent="0.3">
      <c r="F985" s="98"/>
    </row>
    <row r="986" spans="6:6" x14ac:dyDescent="0.3">
      <c r="F986" s="98"/>
    </row>
    <row r="987" spans="6:6" x14ac:dyDescent="0.3">
      <c r="F987" s="98"/>
    </row>
    <row r="988" spans="6:6" x14ac:dyDescent="0.3">
      <c r="F988" s="98"/>
    </row>
    <row r="989" spans="6:6" x14ac:dyDescent="0.3">
      <c r="F989" s="98"/>
    </row>
    <row r="990" spans="6:6" x14ac:dyDescent="0.3">
      <c r="F990" s="98"/>
    </row>
    <row r="991" spans="6:6" x14ac:dyDescent="0.3">
      <c r="F991" s="98"/>
    </row>
    <row r="992" spans="6:6" x14ac:dyDescent="0.3">
      <c r="F992" s="98"/>
    </row>
    <row r="993" spans="6:6" x14ac:dyDescent="0.3">
      <c r="F993" s="98"/>
    </row>
    <row r="994" spans="6:6" x14ac:dyDescent="0.3">
      <c r="F994" s="98"/>
    </row>
    <row r="995" spans="6:6" x14ac:dyDescent="0.3">
      <c r="F995" s="98"/>
    </row>
    <row r="996" spans="6:6" x14ac:dyDescent="0.3">
      <c r="F996" s="98"/>
    </row>
    <row r="997" spans="6:6" x14ac:dyDescent="0.3">
      <c r="F997" s="98"/>
    </row>
    <row r="998" spans="6:6" x14ac:dyDescent="0.3">
      <c r="F998" s="98"/>
    </row>
    <row r="999" spans="6:6" x14ac:dyDescent="0.3">
      <c r="F999" s="98"/>
    </row>
    <row r="1000" spans="6:6" x14ac:dyDescent="0.3">
      <c r="F1000" s="98"/>
    </row>
    <row r="1001" spans="6:6" x14ac:dyDescent="0.3">
      <c r="F1001" s="98"/>
    </row>
    <row r="1002" spans="6:6" x14ac:dyDescent="0.3">
      <c r="F1002" s="98"/>
    </row>
    <row r="1003" spans="6:6" x14ac:dyDescent="0.3">
      <c r="F1003" s="98"/>
    </row>
    <row r="1004" spans="6:6" x14ac:dyDescent="0.3">
      <c r="F1004" s="98"/>
    </row>
    <row r="1005" spans="6:6" x14ac:dyDescent="0.3">
      <c r="F1005" s="98"/>
    </row>
    <row r="1006" spans="6:6" x14ac:dyDescent="0.3">
      <c r="F1006" s="98"/>
    </row>
    <row r="1007" spans="6:6" x14ac:dyDescent="0.3">
      <c r="F1007" s="98"/>
    </row>
    <row r="1008" spans="6:6" x14ac:dyDescent="0.3">
      <c r="F1008" s="98"/>
    </row>
    <row r="1009" spans="6:6" x14ac:dyDescent="0.3">
      <c r="F1009" s="98"/>
    </row>
    <row r="1010" spans="6:6" x14ac:dyDescent="0.3">
      <c r="F1010" s="98"/>
    </row>
    <row r="1011" spans="6:6" x14ac:dyDescent="0.3">
      <c r="F1011" s="98"/>
    </row>
    <row r="1012" spans="6:6" x14ac:dyDescent="0.3">
      <c r="F1012" s="98"/>
    </row>
    <row r="1013" spans="6:6" x14ac:dyDescent="0.3">
      <c r="F1013" s="98"/>
    </row>
    <row r="1014" spans="6:6" x14ac:dyDescent="0.3">
      <c r="F1014" s="98"/>
    </row>
    <row r="1015" spans="6:6" x14ac:dyDescent="0.3">
      <c r="F1015" s="98"/>
    </row>
    <row r="1016" spans="6:6" x14ac:dyDescent="0.3">
      <c r="F1016" s="98"/>
    </row>
    <row r="1017" spans="6:6" x14ac:dyDescent="0.3">
      <c r="F1017" s="98"/>
    </row>
    <row r="1018" spans="6:6" x14ac:dyDescent="0.3">
      <c r="F1018" s="98"/>
    </row>
    <row r="1019" spans="6:6" x14ac:dyDescent="0.3">
      <c r="F1019" s="98"/>
    </row>
    <row r="1020" spans="6:6" x14ac:dyDescent="0.3">
      <c r="F1020" s="98"/>
    </row>
    <row r="1021" spans="6:6" x14ac:dyDescent="0.3">
      <c r="F1021" s="98"/>
    </row>
    <row r="1022" spans="6:6" x14ac:dyDescent="0.3">
      <c r="F1022" s="98"/>
    </row>
    <row r="1023" spans="6:6" x14ac:dyDescent="0.3">
      <c r="F1023" s="98"/>
    </row>
    <row r="1024" spans="6:6" x14ac:dyDescent="0.3">
      <c r="F1024" s="98"/>
    </row>
    <row r="1025" spans="6:6" x14ac:dyDescent="0.3">
      <c r="F1025" s="98"/>
    </row>
    <row r="1026" spans="6:6" x14ac:dyDescent="0.3">
      <c r="F1026" s="98"/>
    </row>
    <row r="1027" spans="6:6" x14ac:dyDescent="0.3">
      <c r="F1027" s="98"/>
    </row>
    <row r="1028" spans="6:6" x14ac:dyDescent="0.3">
      <c r="F1028" s="98"/>
    </row>
    <row r="1029" spans="6:6" x14ac:dyDescent="0.3">
      <c r="F1029" s="98"/>
    </row>
    <row r="1030" spans="6:6" x14ac:dyDescent="0.3">
      <c r="F1030" s="98"/>
    </row>
    <row r="1031" spans="6:6" x14ac:dyDescent="0.3">
      <c r="F1031" s="98"/>
    </row>
    <row r="1032" spans="6:6" x14ac:dyDescent="0.3">
      <c r="F1032" s="98"/>
    </row>
    <row r="1033" spans="6:6" x14ac:dyDescent="0.3">
      <c r="F1033" s="98"/>
    </row>
    <row r="1034" spans="6:6" x14ac:dyDescent="0.3">
      <c r="F1034" s="98"/>
    </row>
    <row r="1035" spans="6:6" x14ac:dyDescent="0.3">
      <c r="F1035" s="98"/>
    </row>
    <row r="1036" spans="6:6" x14ac:dyDescent="0.3">
      <c r="F1036" s="98"/>
    </row>
    <row r="1037" spans="6:6" x14ac:dyDescent="0.3">
      <c r="F1037" s="98"/>
    </row>
    <row r="1038" spans="6:6" x14ac:dyDescent="0.3">
      <c r="F1038" s="98"/>
    </row>
    <row r="1039" spans="6:6" x14ac:dyDescent="0.3">
      <c r="F1039" s="98"/>
    </row>
    <row r="1040" spans="6:6" x14ac:dyDescent="0.3">
      <c r="F1040" s="98"/>
    </row>
    <row r="1041" spans="6:6" x14ac:dyDescent="0.3">
      <c r="F1041" s="98"/>
    </row>
    <row r="1042" spans="6:6" x14ac:dyDescent="0.3">
      <c r="F1042" s="98"/>
    </row>
    <row r="1043" spans="6:6" x14ac:dyDescent="0.3">
      <c r="F1043" s="98"/>
    </row>
    <row r="1044" spans="6:6" x14ac:dyDescent="0.3">
      <c r="F1044" s="98"/>
    </row>
    <row r="1045" spans="6:6" x14ac:dyDescent="0.3">
      <c r="F1045" s="98"/>
    </row>
    <row r="1046" spans="6:6" x14ac:dyDescent="0.3">
      <c r="F1046" s="98"/>
    </row>
    <row r="1047" spans="6:6" x14ac:dyDescent="0.3">
      <c r="F1047" s="98"/>
    </row>
    <row r="1048" spans="6:6" x14ac:dyDescent="0.3">
      <c r="F1048" s="98"/>
    </row>
    <row r="1049" spans="6:6" x14ac:dyDescent="0.3">
      <c r="F1049" s="98"/>
    </row>
    <row r="1050" spans="6:6" x14ac:dyDescent="0.3">
      <c r="F1050" s="98"/>
    </row>
    <row r="1051" spans="6:6" x14ac:dyDescent="0.3">
      <c r="F1051" s="98"/>
    </row>
    <row r="1052" spans="6:6" x14ac:dyDescent="0.3">
      <c r="F1052" s="98"/>
    </row>
    <row r="1053" spans="6:6" x14ac:dyDescent="0.3">
      <c r="F1053" s="98"/>
    </row>
    <row r="1054" spans="6:6" x14ac:dyDescent="0.3">
      <c r="F1054" s="98"/>
    </row>
    <row r="1055" spans="6:6" x14ac:dyDescent="0.3">
      <c r="F1055" s="98"/>
    </row>
    <row r="1056" spans="6:6" x14ac:dyDescent="0.3">
      <c r="F1056" s="98"/>
    </row>
    <row r="1057" spans="6:6" x14ac:dyDescent="0.3">
      <c r="F1057" s="98"/>
    </row>
    <row r="1058" spans="6:6" x14ac:dyDescent="0.3">
      <c r="F1058" s="98"/>
    </row>
    <row r="1059" spans="6:6" x14ac:dyDescent="0.3">
      <c r="F1059" s="98"/>
    </row>
    <row r="1060" spans="6:6" x14ac:dyDescent="0.3">
      <c r="F1060" s="98"/>
    </row>
    <row r="1061" spans="6:6" x14ac:dyDescent="0.3">
      <c r="F1061" s="98"/>
    </row>
    <row r="1062" spans="6:6" x14ac:dyDescent="0.3">
      <c r="F1062" s="98"/>
    </row>
    <row r="1063" spans="6:6" x14ac:dyDescent="0.3">
      <c r="F1063" s="98"/>
    </row>
    <row r="1064" spans="6:6" x14ac:dyDescent="0.3">
      <c r="F1064" s="98"/>
    </row>
    <row r="1065" spans="6:6" x14ac:dyDescent="0.3">
      <c r="F1065" s="98"/>
    </row>
    <row r="1066" spans="6:6" x14ac:dyDescent="0.3">
      <c r="F1066" s="98"/>
    </row>
    <row r="1067" spans="6:6" x14ac:dyDescent="0.3">
      <c r="F1067" s="98"/>
    </row>
    <row r="1068" spans="6:6" x14ac:dyDescent="0.3">
      <c r="F1068" s="98"/>
    </row>
    <row r="1069" spans="6:6" x14ac:dyDescent="0.3">
      <c r="F1069" s="98"/>
    </row>
    <row r="1070" spans="6:6" x14ac:dyDescent="0.3">
      <c r="F1070" s="98"/>
    </row>
    <row r="1071" spans="6:6" x14ac:dyDescent="0.3">
      <c r="F1071" s="98"/>
    </row>
    <row r="1072" spans="6:6" x14ac:dyDescent="0.3">
      <c r="F1072" s="98"/>
    </row>
    <row r="1073" spans="6:6" x14ac:dyDescent="0.3">
      <c r="F1073" s="98"/>
    </row>
    <row r="1074" spans="6:6" x14ac:dyDescent="0.3">
      <c r="F1074" s="98"/>
    </row>
    <row r="1075" spans="6:6" x14ac:dyDescent="0.3">
      <c r="F1075" s="98"/>
    </row>
    <row r="1076" spans="6:6" x14ac:dyDescent="0.3">
      <c r="F1076" s="98"/>
    </row>
    <row r="1077" spans="6:6" x14ac:dyDescent="0.3">
      <c r="F1077" s="98"/>
    </row>
    <row r="1078" spans="6:6" x14ac:dyDescent="0.3">
      <c r="F1078" s="98"/>
    </row>
    <row r="1079" spans="6:6" x14ac:dyDescent="0.3">
      <c r="F1079" s="98"/>
    </row>
    <row r="1080" spans="6:6" x14ac:dyDescent="0.3">
      <c r="F1080" s="98"/>
    </row>
    <row r="1081" spans="6:6" x14ac:dyDescent="0.3">
      <c r="F1081" s="98"/>
    </row>
    <row r="1082" spans="6:6" x14ac:dyDescent="0.3">
      <c r="F1082" s="98"/>
    </row>
    <row r="1083" spans="6:6" x14ac:dyDescent="0.3">
      <c r="F1083" s="98"/>
    </row>
    <row r="1084" spans="6:6" x14ac:dyDescent="0.3">
      <c r="F1084" s="98"/>
    </row>
    <row r="1085" spans="6:6" x14ac:dyDescent="0.3">
      <c r="F1085" s="98"/>
    </row>
    <row r="1086" spans="6:6" x14ac:dyDescent="0.3">
      <c r="F1086" s="98"/>
    </row>
    <row r="1087" spans="6:6" x14ac:dyDescent="0.3">
      <c r="F1087" s="98"/>
    </row>
    <row r="1088" spans="6:6" x14ac:dyDescent="0.3">
      <c r="F1088" s="98"/>
    </row>
    <row r="1089" spans="6:6" x14ac:dyDescent="0.3">
      <c r="F1089" s="98"/>
    </row>
    <row r="1090" spans="6:6" x14ac:dyDescent="0.3">
      <c r="F1090" s="98"/>
    </row>
    <row r="1091" spans="6:6" x14ac:dyDescent="0.3">
      <c r="F1091" s="98"/>
    </row>
    <row r="1092" spans="6:6" x14ac:dyDescent="0.3">
      <c r="F1092" s="98"/>
    </row>
    <row r="1093" spans="6:6" x14ac:dyDescent="0.3">
      <c r="F1093" s="98"/>
    </row>
    <row r="1094" spans="6:6" x14ac:dyDescent="0.3">
      <c r="F1094" s="98"/>
    </row>
    <row r="1095" spans="6:6" x14ac:dyDescent="0.3">
      <c r="F1095" s="98"/>
    </row>
    <row r="1096" spans="6:6" x14ac:dyDescent="0.3">
      <c r="F1096" s="98"/>
    </row>
    <row r="1097" spans="6:6" x14ac:dyDescent="0.3">
      <c r="F1097" s="98"/>
    </row>
    <row r="1098" spans="6:6" x14ac:dyDescent="0.3">
      <c r="F1098" s="98"/>
    </row>
    <row r="1099" spans="6:6" x14ac:dyDescent="0.3">
      <c r="F1099" s="98"/>
    </row>
    <row r="1100" spans="6:6" x14ac:dyDescent="0.3">
      <c r="F1100" s="98"/>
    </row>
    <row r="1101" spans="6:6" x14ac:dyDescent="0.3">
      <c r="F1101" s="98"/>
    </row>
    <row r="1102" spans="6:6" x14ac:dyDescent="0.3">
      <c r="F1102" s="98"/>
    </row>
    <row r="1103" spans="6:6" x14ac:dyDescent="0.3">
      <c r="F1103" s="98"/>
    </row>
    <row r="1104" spans="6:6" x14ac:dyDescent="0.3">
      <c r="F1104" s="98"/>
    </row>
    <row r="1105" spans="6:6" x14ac:dyDescent="0.3">
      <c r="F1105" s="98"/>
    </row>
    <row r="1106" spans="6:6" x14ac:dyDescent="0.3">
      <c r="F1106" s="98"/>
    </row>
    <row r="1107" spans="6:6" x14ac:dyDescent="0.3">
      <c r="F1107" s="98"/>
    </row>
    <row r="1108" spans="6:6" x14ac:dyDescent="0.3">
      <c r="F1108" s="98"/>
    </row>
    <row r="1109" spans="6:6" x14ac:dyDescent="0.3">
      <c r="F1109" s="98"/>
    </row>
    <row r="1110" spans="6:6" x14ac:dyDescent="0.3">
      <c r="F1110" s="98"/>
    </row>
    <row r="1111" spans="6:6" x14ac:dyDescent="0.3">
      <c r="F1111" s="98"/>
    </row>
    <row r="1112" spans="6:6" x14ac:dyDescent="0.3">
      <c r="F1112" s="98"/>
    </row>
    <row r="1113" spans="6:6" x14ac:dyDescent="0.3">
      <c r="F1113" s="98"/>
    </row>
    <row r="1114" spans="6:6" x14ac:dyDescent="0.3">
      <c r="F1114" s="98"/>
    </row>
    <row r="1115" spans="6:6" x14ac:dyDescent="0.3">
      <c r="F1115" s="98"/>
    </row>
    <row r="1116" spans="6:6" x14ac:dyDescent="0.3">
      <c r="F1116" s="98"/>
    </row>
    <row r="1117" spans="6:6" x14ac:dyDescent="0.3">
      <c r="F1117" s="98"/>
    </row>
    <row r="1118" spans="6:6" x14ac:dyDescent="0.3">
      <c r="F1118" s="98"/>
    </row>
    <row r="1119" spans="6:6" x14ac:dyDescent="0.3">
      <c r="F1119" s="98"/>
    </row>
    <row r="1120" spans="6:6" x14ac:dyDescent="0.3">
      <c r="F1120" s="98"/>
    </row>
    <row r="1121" spans="6:6" x14ac:dyDescent="0.3">
      <c r="F1121" s="98"/>
    </row>
    <row r="1122" spans="6:6" x14ac:dyDescent="0.3">
      <c r="F1122" s="98"/>
    </row>
    <row r="1123" spans="6:6" x14ac:dyDescent="0.3">
      <c r="F1123" s="98"/>
    </row>
    <row r="1124" spans="6:6" x14ac:dyDescent="0.3">
      <c r="F1124" s="98"/>
    </row>
    <row r="1125" spans="6:6" x14ac:dyDescent="0.3">
      <c r="F1125" s="98"/>
    </row>
    <row r="1126" spans="6:6" x14ac:dyDescent="0.3">
      <c r="F1126" s="98"/>
    </row>
    <row r="1127" spans="6:6" x14ac:dyDescent="0.3">
      <c r="F1127" s="98"/>
    </row>
    <row r="1128" spans="6:6" x14ac:dyDescent="0.3">
      <c r="F1128" s="98"/>
    </row>
    <row r="1129" spans="6:6" x14ac:dyDescent="0.3">
      <c r="F1129" s="98"/>
    </row>
    <row r="1130" spans="6:6" x14ac:dyDescent="0.3">
      <c r="F1130" s="98"/>
    </row>
    <row r="1131" spans="6:6" x14ac:dyDescent="0.3">
      <c r="F1131" s="98"/>
    </row>
    <row r="1132" spans="6:6" x14ac:dyDescent="0.3">
      <c r="F1132" s="98"/>
    </row>
    <row r="1133" spans="6:6" x14ac:dyDescent="0.3">
      <c r="F1133" s="98"/>
    </row>
    <row r="1134" spans="6:6" x14ac:dyDescent="0.3">
      <c r="F1134" s="98"/>
    </row>
    <row r="1135" spans="6:6" x14ac:dyDescent="0.3">
      <c r="F1135" s="98"/>
    </row>
    <row r="1136" spans="6:6" x14ac:dyDescent="0.3">
      <c r="F1136" s="98"/>
    </row>
    <row r="1137" spans="6:6" x14ac:dyDescent="0.3">
      <c r="F1137" s="98"/>
    </row>
    <row r="1138" spans="6:6" x14ac:dyDescent="0.3">
      <c r="F1138" s="98"/>
    </row>
    <row r="1139" spans="6:6" x14ac:dyDescent="0.3">
      <c r="F1139" s="98"/>
    </row>
    <row r="1140" spans="6:6" x14ac:dyDescent="0.3">
      <c r="F1140" s="98"/>
    </row>
    <row r="1141" spans="6:6" x14ac:dyDescent="0.3">
      <c r="F1141" s="98"/>
    </row>
    <row r="1142" spans="6:6" x14ac:dyDescent="0.3">
      <c r="F1142" s="98"/>
    </row>
    <row r="1143" spans="6:6" x14ac:dyDescent="0.3">
      <c r="F1143" s="98"/>
    </row>
    <row r="1144" spans="6:6" x14ac:dyDescent="0.3">
      <c r="F1144" s="98"/>
    </row>
    <row r="1145" spans="6:6" x14ac:dyDescent="0.3">
      <c r="F1145" s="98"/>
    </row>
    <row r="1146" spans="6:6" x14ac:dyDescent="0.3">
      <c r="F1146" s="98"/>
    </row>
    <row r="1147" spans="6:6" x14ac:dyDescent="0.3">
      <c r="F1147" s="98"/>
    </row>
    <row r="1148" spans="6:6" x14ac:dyDescent="0.3">
      <c r="F1148" s="98"/>
    </row>
    <row r="1149" spans="6:6" x14ac:dyDescent="0.3">
      <c r="F1149" s="98"/>
    </row>
    <row r="1150" spans="6:6" x14ac:dyDescent="0.3">
      <c r="F1150" s="98"/>
    </row>
    <row r="1151" spans="6:6" x14ac:dyDescent="0.3">
      <c r="F1151" s="98"/>
    </row>
    <row r="1152" spans="6:6" x14ac:dyDescent="0.3">
      <c r="F1152" s="98"/>
    </row>
    <row r="1153" spans="6:6" x14ac:dyDescent="0.3">
      <c r="F1153" s="98"/>
    </row>
    <row r="1154" spans="6:6" x14ac:dyDescent="0.3">
      <c r="F1154" s="98"/>
    </row>
    <row r="1155" spans="6:6" x14ac:dyDescent="0.3">
      <c r="F1155" s="98"/>
    </row>
    <row r="1156" spans="6:6" x14ac:dyDescent="0.3">
      <c r="F1156" s="98"/>
    </row>
    <row r="1157" spans="6:6" x14ac:dyDescent="0.3">
      <c r="F1157" s="98"/>
    </row>
    <row r="1158" spans="6:6" x14ac:dyDescent="0.3">
      <c r="F1158" s="98"/>
    </row>
    <row r="1159" spans="6:6" x14ac:dyDescent="0.3">
      <c r="F1159" s="98"/>
    </row>
    <row r="1160" spans="6:6" x14ac:dyDescent="0.3">
      <c r="F1160" s="98"/>
    </row>
    <row r="1161" spans="6:6" x14ac:dyDescent="0.3">
      <c r="F1161" s="98"/>
    </row>
    <row r="1162" spans="6:6" x14ac:dyDescent="0.3">
      <c r="F1162" s="98"/>
    </row>
    <row r="1163" spans="6:6" x14ac:dyDescent="0.3">
      <c r="F1163" s="98"/>
    </row>
    <row r="1164" spans="6:6" x14ac:dyDescent="0.3">
      <c r="F1164" s="98"/>
    </row>
    <row r="1165" spans="6:6" x14ac:dyDescent="0.3">
      <c r="F1165" s="98"/>
    </row>
    <row r="1166" spans="6:6" x14ac:dyDescent="0.3">
      <c r="F1166" s="98"/>
    </row>
    <row r="1167" spans="6:6" x14ac:dyDescent="0.3">
      <c r="F1167" s="98"/>
    </row>
    <row r="1168" spans="6:6" x14ac:dyDescent="0.3">
      <c r="F1168" s="98"/>
    </row>
    <row r="1169" spans="6:6" x14ac:dyDescent="0.3">
      <c r="F1169" s="98"/>
    </row>
    <row r="1170" spans="6:6" x14ac:dyDescent="0.3">
      <c r="F1170" s="98"/>
    </row>
    <row r="1171" spans="6:6" x14ac:dyDescent="0.3">
      <c r="F1171" s="98"/>
    </row>
    <row r="1172" spans="6:6" x14ac:dyDescent="0.3">
      <c r="F1172" s="98"/>
    </row>
    <row r="1173" spans="6:6" x14ac:dyDescent="0.3">
      <c r="F1173" s="98"/>
    </row>
    <row r="1174" spans="6:6" x14ac:dyDescent="0.3">
      <c r="F1174" s="98"/>
    </row>
    <row r="1175" spans="6:6" x14ac:dyDescent="0.3">
      <c r="F1175" s="98"/>
    </row>
    <row r="1176" spans="6:6" x14ac:dyDescent="0.3">
      <c r="F1176" s="98"/>
    </row>
    <row r="1177" spans="6:6" x14ac:dyDescent="0.3">
      <c r="F1177" s="98"/>
    </row>
    <row r="1178" spans="6:6" x14ac:dyDescent="0.3">
      <c r="F1178" s="98"/>
    </row>
    <row r="1179" spans="6:6" x14ac:dyDescent="0.3">
      <c r="F1179" s="98"/>
    </row>
    <row r="1180" spans="6:6" x14ac:dyDescent="0.3">
      <c r="F1180" s="98"/>
    </row>
    <row r="1181" spans="6:6" x14ac:dyDescent="0.3">
      <c r="F1181" s="98"/>
    </row>
    <row r="1182" spans="6:6" x14ac:dyDescent="0.3">
      <c r="F1182" s="98"/>
    </row>
    <row r="1183" spans="6:6" x14ac:dyDescent="0.3">
      <c r="F1183" s="98"/>
    </row>
    <row r="1184" spans="6:6" x14ac:dyDescent="0.3">
      <c r="F1184" s="98"/>
    </row>
    <row r="1185" spans="6:6" x14ac:dyDescent="0.3">
      <c r="F1185" s="98"/>
    </row>
    <row r="1186" spans="6:6" x14ac:dyDescent="0.3">
      <c r="F1186" s="98"/>
    </row>
    <row r="1187" spans="6:6" x14ac:dyDescent="0.3">
      <c r="F1187" s="98"/>
    </row>
    <row r="1188" spans="6:6" x14ac:dyDescent="0.3">
      <c r="F1188" s="98"/>
    </row>
    <row r="1189" spans="6:6" x14ac:dyDescent="0.3">
      <c r="F1189" s="98"/>
    </row>
    <row r="1190" spans="6:6" x14ac:dyDescent="0.3">
      <c r="F1190" s="98"/>
    </row>
    <row r="1191" spans="6:6" x14ac:dyDescent="0.3">
      <c r="F1191" s="98"/>
    </row>
    <row r="1192" spans="6:6" x14ac:dyDescent="0.3">
      <c r="F1192" s="98"/>
    </row>
    <row r="1193" spans="6:6" x14ac:dyDescent="0.3">
      <c r="F1193" s="98"/>
    </row>
    <row r="1194" spans="6:6" x14ac:dyDescent="0.3">
      <c r="F1194" s="98"/>
    </row>
    <row r="1195" spans="6:6" x14ac:dyDescent="0.3">
      <c r="F1195" s="98"/>
    </row>
    <row r="1196" spans="6:6" x14ac:dyDescent="0.3">
      <c r="F1196" s="98"/>
    </row>
    <row r="1197" spans="6:6" x14ac:dyDescent="0.3">
      <c r="F1197" s="98"/>
    </row>
    <row r="1198" spans="6:6" x14ac:dyDescent="0.3">
      <c r="F1198" s="98"/>
    </row>
    <row r="1199" spans="6:6" x14ac:dyDescent="0.3">
      <c r="F1199" s="98"/>
    </row>
    <row r="1200" spans="6:6" x14ac:dyDescent="0.3">
      <c r="F1200" s="98"/>
    </row>
    <row r="1201" spans="6:6" x14ac:dyDescent="0.3">
      <c r="F1201" s="98"/>
    </row>
    <row r="1202" spans="6:6" x14ac:dyDescent="0.3">
      <c r="F1202" s="98"/>
    </row>
    <row r="1203" spans="6:6" x14ac:dyDescent="0.3">
      <c r="F1203" s="98"/>
    </row>
    <row r="1204" spans="6:6" x14ac:dyDescent="0.3">
      <c r="F1204" s="98"/>
    </row>
    <row r="1205" spans="6:6" x14ac:dyDescent="0.3">
      <c r="F1205" s="98"/>
    </row>
    <row r="1206" spans="6:6" x14ac:dyDescent="0.3">
      <c r="F1206" s="98"/>
    </row>
    <row r="1207" spans="6:6" x14ac:dyDescent="0.3">
      <c r="F1207" s="98"/>
    </row>
    <row r="1208" spans="6:6" x14ac:dyDescent="0.3">
      <c r="F1208" s="98"/>
    </row>
    <row r="1209" spans="6:6" x14ac:dyDescent="0.3">
      <c r="F1209" s="98"/>
    </row>
    <row r="1210" spans="6:6" x14ac:dyDescent="0.3">
      <c r="F1210" s="98"/>
    </row>
    <row r="1211" spans="6:6" x14ac:dyDescent="0.3">
      <c r="F1211" s="98"/>
    </row>
    <row r="1212" spans="6:6" x14ac:dyDescent="0.3">
      <c r="F1212" s="98"/>
    </row>
    <row r="1213" spans="6:6" x14ac:dyDescent="0.3">
      <c r="F1213" s="98"/>
    </row>
    <row r="1214" spans="6:6" x14ac:dyDescent="0.3">
      <c r="F1214" s="98"/>
    </row>
    <row r="1215" spans="6:6" x14ac:dyDescent="0.3">
      <c r="F1215" s="98"/>
    </row>
    <row r="1216" spans="6:6" x14ac:dyDescent="0.3">
      <c r="F1216" s="98"/>
    </row>
    <row r="1217" spans="6:6" x14ac:dyDescent="0.3">
      <c r="F1217" s="98"/>
    </row>
    <row r="1218" spans="6:6" x14ac:dyDescent="0.3">
      <c r="F1218" s="98"/>
    </row>
    <row r="1219" spans="6:6" x14ac:dyDescent="0.3">
      <c r="F1219" s="98"/>
    </row>
    <row r="1220" spans="6:6" x14ac:dyDescent="0.3">
      <c r="F1220" s="98"/>
    </row>
    <row r="1221" spans="6:6" x14ac:dyDescent="0.3">
      <c r="F1221" s="98"/>
    </row>
    <row r="1222" spans="6:6" x14ac:dyDescent="0.3">
      <c r="F1222" s="98"/>
    </row>
    <row r="1223" spans="6:6" x14ac:dyDescent="0.3">
      <c r="F1223" s="98"/>
    </row>
    <row r="1224" spans="6:6" x14ac:dyDescent="0.3">
      <c r="F1224" s="98"/>
    </row>
    <row r="1225" spans="6:6" x14ac:dyDescent="0.3">
      <c r="F1225" s="98"/>
    </row>
    <row r="1226" spans="6:6" x14ac:dyDescent="0.3">
      <c r="F1226" s="98"/>
    </row>
    <row r="1227" spans="6:6" x14ac:dyDescent="0.3">
      <c r="F1227" s="98"/>
    </row>
    <row r="1228" spans="6:6" x14ac:dyDescent="0.3">
      <c r="F1228" s="98"/>
    </row>
    <row r="1229" spans="6:6" x14ac:dyDescent="0.3">
      <c r="F1229" s="98"/>
    </row>
    <row r="1230" spans="6:6" x14ac:dyDescent="0.3">
      <c r="F1230" s="98"/>
    </row>
    <row r="1231" spans="6:6" x14ac:dyDescent="0.3">
      <c r="F1231" s="98"/>
    </row>
    <row r="1232" spans="6:6" x14ac:dyDescent="0.3">
      <c r="F1232" s="98"/>
    </row>
    <row r="1233" spans="6:6" x14ac:dyDescent="0.3">
      <c r="F1233" s="98"/>
    </row>
    <row r="1234" spans="6:6" x14ac:dyDescent="0.3">
      <c r="F1234" s="98"/>
    </row>
    <row r="1235" spans="6:6" x14ac:dyDescent="0.3">
      <c r="F1235" s="98"/>
    </row>
    <row r="1236" spans="6:6" x14ac:dyDescent="0.3">
      <c r="F1236" s="98"/>
    </row>
    <row r="1237" spans="6:6" x14ac:dyDescent="0.3">
      <c r="F1237" s="98"/>
    </row>
    <row r="1238" spans="6:6" x14ac:dyDescent="0.3">
      <c r="F1238" s="98"/>
    </row>
    <row r="1239" spans="6:6" x14ac:dyDescent="0.3">
      <c r="F1239" s="98"/>
    </row>
    <row r="1240" spans="6:6" x14ac:dyDescent="0.3">
      <c r="F1240" s="98"/>
    </row>
    <row r="1241" spans="6:6" x14ac:dyDescent="0.3">
      <c r="F1241" s="98"/>
    </row>
    <row r="1242" spans="6:6" x14ac:dyDescent="0.3">
      <c r="F1242" s="98"/>
    </row>
    <row r="1243" spans="6:6" x14ac:dyDescent="0.3">
      <c r="F1243" s="98"/>
    </row>
    <row r="1244" spans="6:6" x14ac:dyDescent="0.3">
      <c r="F1244" s="98"/>
    </row>
    <row r="1245" spans="6:6" x14ac:dyDescent="0.3">
      <c r="F1245" s="98"/>
    </row>
    <row r="1246" spans="6:6" x14ac:dyDescent="0.3">
      <c r="F1246" s="98"/>
    </row>
    <row r="1247" spans="6:6" x14ac:dyDescent="0.3">
      <c r="F1247" s="98"/>
    </row>
    <row r="1248" spans="6:6" x14ac:dyDescent="0.3">
      <c r="F1248" s="98"/>
    </row>
    <row r="1249" spans="6:6" x14ac:dyDescent="0.3">
      <c r="F1249" s="98"/>
    </row>
    <row r="1250" spans="6:6" x14ac:dyDescent="0.3">
      <c r="F1250" s="98"/>
    </row>
    <row r="1251" spans="6:6" x14ac:dyDescent="0.3">
      <c r="F1251" s="98"/>
    </row>
    <row r="1252" spans="6:6" x14ac:dyDescent="0.3">
      <c r="F1252" s="98"/>
    </row>
    <row r="1253" spans="6:6" x14ac:dyDescent="0.3">
      <c r="F1253" s="98"/>
    </row>
    <row r="1254" spans="6:6" x14ac:dyDescent="0.3">
      <c r="F1254" s="98"/>
    </row>
    <row r="1255" spans="6:6" x14ac:dyDescent="0.3">
      <c r="F1255" s="98"/>
    </row>
    <row r="1256" spans="6:6" x14ac:dyDescent="0.3">
      <c r="F1256" s="98"/>
    </row>
    <row r="1257" spans="6:6" x14ac:dyDescent="0.3">
      <c r="F1257" s="98"/>
    </row>
    <row r="1258" spans="6:6" x14ac:dyDescent="0.3">
      <c r="F1258" s="98"/>
    </row>
    <row r="1259" spans="6:6" x14ac:dyDescent="0.3">
      <c r="F1259" s="98"/>
    </row>
    <row r="1260" spans="6:6" x14ac:dyDescent="0.3">
      <c r="F1260" s="98"/>
    </row>
    <row r="1261" spans="6:6" x14ac:dyDescent="0.3">
      <c r="F1261" s="98"/>
    </row>
    <row r="1262" spans="6:6" x14ac:dyDescent="0.3">
      <c r="F1262" s="98"/>
    </row>
    <row r="1263" spans="6:6" x14ac:dyDescent="0.3">
      <c r="F1263" s="98"/>
    </row>
    <row r="1264" spans="6:6" x14ac:dyDescent="0.3">
      <c r="F1264" s="98"/>
    </row>
    <row r="1265" spans="6:6" x14ac:dyDescent="0.3">
      <c r="F1265" s="98"/>
    </row>
    <row r="1266" spans="6:6" x14ac:dyDescent="0.3">
      <c r="F1266" s="98"/>
    </row>
    <row r="1267" spans="6:6" x14ac:dyDescent="0.3">
      <c r="F1267" s="98"/>
    </row>
    <row r="1268" spans="6:6" x14ac:dyDescent="0.3">
      <c r="F1268" s="98"/>
    </row>
    <row r="1269" spans="6:6" x14ac:dyDescent="0.3">
      <c r="F1269" s="98"/>
    </row>
    <row r="1270" spans="6:6" x14ac:dyDescent="0.3">
      <c r="F1270" s="98"/>
    </row>
    <row r="1271" spans="6:6" x14ac:dyDescent="0.3">
      <c r="F1271" s="98"/>
    </row>
    <row r="1272" spans="6:6" x14ac:dyDescent="0.3">
      <c r="F1272" s="98"/>
    </row>
    <row r="1273" spans="6:6" x14ac:dyDescent="0.3">
      <c r="F1273" s="98"/>
    </row>
    <row r="1274" spans="6:6" x14ac:dyDescent="0.3">
      <c r="F1274" s="98"/>
    </row>
    <row r="1275" spans="6:6" x14ac:dyDescent="0.3">
      <c r="F1275" s="98"/>
    </row>
    <row r="1276" spans="6:6" x14ac:dyDescent="0.3">
      <c r="F1276" s="98"/>
    </row>
    <row r="1277" spans="6:6" x14ac:dyDescent="0.3">
      <c r="F1277" s="98"/>
    </row>
    <row r="1278" spans="6:6" x14ac:dyDescent="0.3">
      <c r="F1278" s="98"/>
    </row>
    <row r="1279" spans="6:6" x14ac:dyDescent="0.3">
      <c r="F1279" s="98"/>
    </row>
    <row r="1280" spans="6:6" x14ac:dyDescent="0.3">
      <c r="F1280" s="98"/>
    </row>
    <row r="1281" spans="6:6" x14ac:dyDescent="0.3">
      <c r="F1281" s="98"/>
    </row>
    <row r="1282" spans="6:6" x14ac:dyDescent="0.3">
      <c r="F1282" s="98"/>
    </row>
    <row r="1283" spans="6:6" x14ac:dyDescent="0.3">
      <c r="F1283" s="98"/>
    </row>
    <row r="1284" spans="6:6" x14ac:dyDescent="0.3">
      <c r="F1284" s="98"/>
    </row>
    <row r="1285" spans="6:6" x14ac:dyDescent="0.3">
      <c r="F1285" s="98"/>
    </row>
    <row r="1286" spans="6:6" x14ac:dyDescent="0.3">
      <c r="F1286" s="98"/>
    </row>
    <row r="1287" spans="6:6" x14ac:dyDescent="0.3">
      <c r="F1287" s="98"/>
    </row>
    <row r="1288" spans="6:6" x14ac:dyDescent="0.3">
      <c r="F1288" s="98"/>
    </row>
    <row r="1289" spans="6:6" x14ac:dyDescent="0.3">
      <c r="F1289" s="98"/>
    </row>
    <row r="1290" spans="6:6" x14ac:dyDescent="0.3">
      <c r="F1290" s="98"/>
    </row>
    <row r="1291" spans="6:6" x14ac:dyDescent="0.3">
      <c r="F1291" s="98"/>
    </row>
    <row r="1292" spans="6:6" x14ac:dyDescent="0.3">
      <c r="F1292" s="98"/>
    </row>
    <row r="1293" spans="6:6" x14ac:dyDescent="0.3">
      <c r="F1293" s="98"/>
    </row>
    <row r="1294" spans="6:6" x14ac:dyDescent="0.3">
      <c r="F1294" s="98"/>
    </row>
    <row r="1295" spans="6:6" x14ac:dyDescent="0.3">
      <c r="F1295" s="98"/>
    </row>
    <row r="1296" spans="6:6" x14ac:dyDescent="0.3">
      <c r="F1296" s="98"/>
    </row>
    <row r="1297" spans="6:6" x14ac:dyDescent="0.3">
      <c r="F1297" s="98"/>
    </row>
    <row r="1298" spans="6:6" x14ac:dyDescent="0.3">
      <c r="F1298" s="98"/>
    </row>
    <row r="1299" spans="6:6" x14ac:dyDescent="0.3">
      <c r="F1299" s="98"/>
    </row>
    <row r="1300" spans="6:6" x14ac:dyDescent="0.3">
      <c r="F1300" s="98"/>
    </row>
    <row r="1301" spans="6:6" x14ac:dyDescent="0.3">
      <c r="F1301" s="98"/>
    </row>
    <row r="1302" spans="6:6" x14ac:dyDescent="0.3">
      <c r="F1302" s="98"/>
    </row>
    <row r="1303" spans="6:6" x14ac:dyDescent="0.3">
      <c r="F1303" s="98"/>
    </row>
    <row r="1304" spans="6:6" x14ac:dyDescent="0.3">
      <c r="F1304" s="98"/>
    </row>
    <row r="1305" spans="6:6" x14ac:dyDescent="0.3">
      <c r="F1305" s="98"/>
    </row>
    <row r="1306" spans="6:6" x14ac:dyDescent="0.3">
      <c r="F1306" s="98"/>
    </row>
    <row r="1307" spans="6:6" x14ac:dyDescent="0.3">
      <c r="F1307" s="98"/>
    </row>
    <row r="1308" spans="6:6" x14ac:dyDescent="0.3">
      <c r="F1308" s="98"/>
    </row>
    <row r="1309" spans="6:6" x14ac:dyDescent="0.3">
      <c r="F1309" s="98"/>
    </row>
    <row r="1310" spans="6:6" x14ac:dyDescent="0.3">
      <c r="F1310" s="98"/>
    </row>
    <row r="1311" spans="6:6" x14ac:dyDescent="0.3">
      <c r="F1311" s="98"/>
    </row>
    <row r="1312" spans="6:6" x14ac:dyDescent="0.3">
      <c r="F1312" s="98"/>
    </row>
    <row r="1313" spans="6:6" x14ac:dyDescent="0.3">
      <c r="F1313" s="98"/>
    </row>
    <row r="1314" spans="6:6" x14ac:dyDescent="0.3">
      <c r="F1314" s="98"/>
    </row>
    <row r="1315" spans="6:6" x14ac:dyDescent="0.3">
      <c r="F1315" s="98"/>
    </row>
    <row r="1316" spans="6:6" x14ac:dyDescent="0.3">
      <c r="F1316" s="98"/>
    </row>
    <row r="1317" spans="6:6" x14ac:dyDescent="0.3">
      <c r="F1317" s="98"/>
    </row>
    <row r="1318" spans="6:6" x14ac:dyDescent="0.3">
      <c r="F1318" s="98"/>
    </row>
    <row r="1319" spans="6:6" x14ac:dyDescent="0.3">
      <c r="F1319" s="98"/>
    </row>
    <row r="1320" spans="6:6" x14ac:dyDescent="0.3">
      <c r="F1320" s="98"/>
    </row>
    <row r="1321" spans="6:6" x14ac:dyDescent="0.3">
      <c r="F1321" s="98"/>
    </row>
    <row r="1322" spans="6:6" x14ac:dyDescent="0.3">
      <c r="F1322" s="98"/>
    </row>
    <row r="1323" spans="6:6" x14ac:dyDescent="0.3">
      <c r="F1323" s="98"/>
    </row>
    <row r="1324" spans="6:6" x14ac:dyDescent="0.3">
      <c r="F1324" s="98"/>
    </row>
    <row r="1325" spans="6:6" x14ac:dyDescent="0.3">
      <c r="F1325" s="98"/>
    </row>
    <row r="1326" spans="6:6" x14ac:dyDescent="0.3">
      <c r="F1326" s="98"/>
    </row>
    <row r="1327" spans="6:6" x14ac:dyDescent="0.3">
      <c r="F1327" s="98"/>
    </row>
    <row r="1328" spans="6:6" x14ac:dyDescent="0.3">
      <c r="F1328" s="98"/>
    </row>
    <row r="1329" spans="6:6" x14ac:dyDescent="0.3">
      <c r="F1329" s="98"/>
    </row>
    <row r="1330" spans="6:6" x14ac:dyDescent="0.3">
      <c r="F1330" s="98"/>
    </row>
    <row r="1331" spans="6:6" x14ac:dyDescent="0.3">
      <c r="F1331" s="98"/>
    </row>
    <row r="1332" spans="6:6" x14ac:dyDescent="0.3">
      <c r="F1332" s="98"/>
    </row>
    <row r="1333" spans="6:6" x14ac:dyDescent="0.3">
      <c r="F1333" s="98"/>
    </row>
    <row r="1334" spans="6:6" x14ac:dyDescent="0.3">
      <c r="F1334" s="98"/>
    </row>
    <row r="1335" spans="6:6" x14ac:dyDescent="0.3">
      <c r="F1335" s="98"/>
    </row>
    <row r="1336" spans="6:6" x14ac:dyDescent="0.3">
      <c r="F1336" s="98"/>
    </row>
    <row r="1337" spans="6:6" x14ac:dyDescent="0.3">
      <c r="F1337" s="98"/>
    </row>
    <row r="1338" spans="6:6" x14ac:dyDescent="0.3">
      <c r="F1338" s="98"/>
    </row>
    <row r="1339" spans="6:6" x14ac:dyDescent="0.3">
      <c r="F1339" s="98"/>
    </row>
    <row r="1340" spans="6:6" x14ac:dyDescent="0.3">
      <c r="F1340" s="98"/>
    </row>
    <row r="1341" spans="6:6" x14ac:dyDescent="0.3">
      <c r="F1341" s="98"/>
    </row>
    <row r="1342" spans="6:6" x14ac:dyDescent="0.3">
      <c r="F1342" s="98"/>
    </row>
    <row r="1343" spans="6:6" x14ac:dyDescent="0.3">
      <c r="F1343" s="98"/>
    </row>
    <row r="1344" spans="6:6" x14ac:dyDescent="0.3">
      <c r="F1344" s="98"/>
    </row>
    <row r="1345" spans="6:6" x14ac:dyDescent="0.3">
      <c r="F1345" s="98"/>
    </row>
    <row r="1346" spans="6:6" x14ac:dyDescent="0.3">
      <c r="F1346" s="98"/>
    </row>
    <row r="1347" spans="6:6" x14ac:dyDescent="0.3">
      <c r="F1347" s="98"/>
    </row>
    <row r="1348" spans="6:6" x14ac:dyDescent="0.3">
      <c r="F1348" s="98"/>
    </row>
    <row r="1349" spans="6:6" x14ac:dyDescent="0.3">
      <c r="F1349" s="98"/>
    </row>
    <row r="1350" spans="6:6" x14ac:dyDescent="0.3">
      <c r="F1350" s="98"/>
    </row>
    <row r="1351" spans="6:6" x14ac:dyDescent="0.3">
      <c r="F1351" s="98"/>
    </row>
    <row r="1352" spans="6:6" x14ac:dyDescent="0.3">
      <c r="F1352" s="98"/>
    </row>
    <row r="1353" spans="6:6" x14ac:dyDescent="0.3">
      <c r="F1353" s="98"/>
    </row>
    <row r="1354" spans="6:6" x14ac:dyDescent="0.3">
      <c r="F1354" s="98"/>
    </row>
    <row r="1355" spans="6:6" x14ac:dyDescent="0.3">
      <c r="F1355" s="98"/>
    </row>
    <row r="1356" spans="6:6" x14ac:dyDescent="0.3">
      <c r="F1356" s="98"/>
    </row>
    <row r="1357" spans="6:6" x14ac:dyDescent="0.3">
      <c r="F1357" s="98"/>
    </row>
    <row r="1358" spans="6:6" x14ac:dyDescent="0.3">
      <c r="F1358" s="98"/>
    </row>
    <row r="1359" spans="6:6" x14ac:dyDescent="0.3">
      <c r="F1359" s="98"/>
    </row>
    <row r="1360" spans="6:6" x14ac:dyDescent="0.3">
      <c r="F1360" s="98"/>
    </row>
    <row r="1361" spans="6:6" x14ac:dyDescent="0.3">
      <c r="F1361" s="98"/>
    </row>
    <row r="1362" spans="6:6" x14ac:dyDescent="0.3">
      <c r="F1362" s="98"/>
    </row>
    <row r="1363" spans="6:6" x14ac:dyDescent="0.3">
      <c r="F1363" s="98"/>
    </row>
    <row r="1364" spans="6:6" x14ac:dyDescent="0.3">
      <c r="F1364" s="98"/>
    </row>
    <row r="1365" spans="6:6" x14ac:dyDescent="0.3">
      <c r="F1365" s="98"/>
    </row>
    <row r="1366" spans="6:6" x14ac:dyDescent="0.3">
      <c r="F1366" s="98"/>
    </row>
    <row r="1367" spans="6:6" x14ac:dyDescent="0.3">
      <c r="F1367" s="98"/>
    </row>
    <row r="1368" spans="6:6" x14ac:dyDescent="0.3">
      <c r="F1368" s="98"/>
    </row>
    <row r="1369" spans="6:6" x14ac:dyDescent="0.3">
      <c r="F1369" s="98"/>
    </row>
    <row r="1370" spans="6:6" x14ac:dyDescent="0.3">
      <c r="F1370" s="98"/>
    </row>
    <row r="1371" spans="6:6" x14ac:dyDescent="0.3">
      <c r="F1371" s="98"/>
    </row>
    <row r="1372" spans="6:6" x14ac:dyDescent="0.3">
      <c r="F1372" s="98"/>
    </row>
    <row r="1373" spans="6:6" x14ac:dyDescent="0.3">
      <c r="F1373" s="98"/>
    </row>
    <row r="1374" spans="6:6" x14ac:dyDescent="0.3">
      <c r="F1374" s="98"/>
    </row>
    <row r="1375" spans="6:6" x14ac:dyDescent="0.3">
      <c r="F1375" s="98"/>
    </row>
    <row r="1376" spans="6:6" x14ac:dyDescent="0.3">
      <c r="F1376" s="98"/>
    </row>
    <row r="1377" spans="6:6" x14ac:dyDescent="0.3">
      <c r="F1377" s="98"/>
    </row>
    <row r="1378" spans="6:6" x14ac:dyDescent="0.3">
      <c r="F1378" s="98"/>
    </row>
    <row r="1379" spans="6:6" x14ac:dyDescent="0.3">
      <c r="F1379" s="98"/>
    </row>
    <row r="1380" spans="6:6" x14ac:dyDescent="0.3">
      <c r="F1380" s="98"/>
    </row>
    <row r="1381" spans="6:6" x14ac:dyDescent="0.3">
      <c r="F1381" s="98"/>
    </row>
    <row r="1382" spans="6:6" x14ac:dyDescent="0.3">
      <c r="F1382" s="98"/>
    </row>
    <row r="1383" spans="6:6" x14ac:dyDescent="0.3">
      <c r="F1383" s="98"/>
    </row>
    <row r="1384" spans="6:6" x14ac:dyDescent="0.3">
      <c r="F1384" s="98"/>
    </row>
    <row r="1385" spans="6:6" x14ac:dyDescent="0.3">
      <c r="F1385" s="98"/>
    </row>
    <row r="1386" spans="6:6" x14ac:dyDescent="0.3">
      <c r="F1386" s="98"/>
    </row>
    <row r="1387" spans="6:6" x14ac:dyDescent="0.3">
      <c r="F1387" s="98"/>
    </row>
    <row r="1388" spans="6:6" x14ac:dyDescent="0.3">
      <c r="F1388" s="98"/>
    </row>
    <row r="1389" spans="6:6" x14ac:dyDescent="0.3">
      <c r="F1389" s="98"/>
    </row>
    <row r="1390" spans="6:6" x14ac:dyDescent="0.3">
      <c r="F1390" s="98"/>
    </row>
    <row r="1391" spans="6:6" x14ac:dyDescent="0.3">
      <c r="F1391" s="98"/>
    </row>
    <row r="1392" spans="6:6" x14ac:dyDescent="0.3">
      <c r="F1392" s="98"/>
    </row>
    <row r="1393" spans="6:6" x14ac:dyDescent="0.3">
      <c r="F1393" s="98"/>
    </row>
    <row r="1394" spans="6:6" x14ac:dyDescent="0.3">
      <c r="F1394" s="98"/>
    </row>
    <row r="1395" spans="6:6" x14ac:dyDescent="0.3">
      <c r="F1395" s="98"/>
    </row>
    <row r="1396" spans="6:6" x14ac:dyDescent="0.3">
      <c r="F1396" s="98"/>
    </row>
    <row r="1397" spans="6:6" x14ac:dyDescent="0.3">
      <c r="F1397" s="98"/>
    </row>
    <row r="1398" spans="6:6" x14ac:dyDescent="0.3">
      <c r="F1398" s="98"/>
    </row>
    <row r="1399" spans="6:6" x14ac:dyDescent="0.3">
      <c r="F1399" s="98"/>
    </row>
    <row r="1400" spans="6:6" x14ac:dyDescent="0.3">
      <c r="F1400" s="98"/>
    </row>
    <row r="1401" spans="6:6" x14ac:dyDescent="0.3">
      <c r="F1401" s="98"/>
    </row>
    <row r="1402" spans="6:6" x14ac:dyDescent="0.3">
      <c r="F1402" s="98"/>
    </row>
    <row r="1403" spans="6:6" x14ac:dyDescent="0.3">
      <c r="F1403" s="98"/>
    </row>
    <row r="1404" spans="6:6" x14ac:dyDescent="0.3">
      <c r="F1404" s="98"/>
    </row>
    <row r="1405" spans="6:6" x14ac:dyDescent="0.3">
      <c r="F1405" s="98"/>
    </row>
    <row r="1406" spans="6:6" x14ac:dyDescent="0.3">
      <c r="F1406" s="98"/>
    </row>
    <row r="1407" spans="6:6" x14ac:dyDescent="0.3">
      <c r="F1407" s="98"/>
    </row>
    <row r="1408" spans="6:6" x14ac:dyDescent="0.3">
      <c r="F1408" s="98"/>
    </row>
    <row r="1409" spans="6:6" x14ac:dyDescent="0.3">
      <c r="F1409" s="98"/>
    </row>
    <row r="1410" spans="6:6" x14ac:dyDescent="0.3">
      <c r="F1410" s="98"/>
    </row>
    <row r="1411" spans="6:6" x14ac:dyDescent="0.3">
      <c r="F1411" s="98"/>
    </row>
    <row r="1412" spans="6:6" x14ac:dyDescent="0.3">
      <c r="F1412" s="98"/>
    </row>
    <row r="1413" spans="6:6" x14ac:dyDescent="0.3">
      <c r="F1413" s="98"/>
    </row>
    <row r="1414" spans="6:6" x14ac:dyDescent="0.3">
      <c r="F1414" s="98"/>
    </row>
    <row r="1415" spans="6:6" x14ac:dyDescent="0.3">
      <c r="F1415" s="98"/>
    </row>
    <row r="1416" spans="6:6" x14ac:dyDescent="0.3">
      <c r="F1416" s="98"/>
    </row>
    <row r="1417" spans="6:6" x14ac:dyDescent="0.3">
      <c r="F1417" s="98"/>
    </row>
    <row r="1418" spans="6:6" x14ac:dyDescent="0.3">
      <c r="F1418" s="98"/>
    </row>
    <row r="1419" spans="6:6" x14ac:dyDescent="0.3">
      <c r="F1419" s="98"/>
    </row>
    <row r="1420" spans="6:6" x14ac:dyDescent="0.3">
      <c r="F1420" s="98"/>
    </row>
    <row r="1421" spans="6:6" x14ac:dyDescent="0.3">
      <c r="F1421" s="98"/>
    </row>
    <row r="1422" spans="6:6" x14ac:dyDescent="0.3">
      <c r="F1422" s="98"/>
    </row>
    <row r="1423" spans="6:6" x14ac:dyDescent="0.3">
      <c r="F1423" s="98"/>
    </row>
    <row r="1424" spans="6:6" x14ac:dyDescent="0.3">
      <c r="F1424" s="98"/>
    </row>
    <row r="1425" spans="6:6" x14ac:dyDescent="0.3">
      <c r="F1425" s="98"/>
    </row>
    <row r="1426" spans="6:6" x14ac:dyDescent="0.3">
      <c r="F1426" s="98"/>
    </row>
    <row r="1427" spans="6:6" x14ac:dyDescent="0.3">
      <c r="F1427" s="98"/>
    </row>
    <row r="1428" spans="6:6" x14ac:dyDescent="0.3">
      <c r="F1428" s="98"/>
    </row>
    <row r="1429" spans="6:6" x14ac:dyDescent="0.3">
      <c r="F1429" s="98"/>
    </row>
    <row r="1430" spans="6:6" x14ac:dyDescent="0.3">
      <c r="F1430" s="98"/>
    </row>
    <row r="1431" spans="6:6" x14ac:dyDescent="0.3">
      <c r="F1431" s="98"/>
    </row>
    <row r="1432" spans="6:6" x14ac:dyDescent="0.3">
      <c r="F1432" s="98"/>
    </row>
    <row r="1433" spans="6:6" x14ac:dyDescent="0.3">
      <c r="F1433" s="98"/>
    </row>
    <row r="1434" spans="6:6" x14ac:dyDescent="0.3">
      <c r="F1434" s="98"/>
    </row>
    <row r="1435" spans="6:6" x14ac:dyDescent="0.3">
      <c r="F1435" s="98"/>
    </row>
    <row r="1436" spans="6:6" x14ac:dyDescent="0.3">
      <c r="F1436" s="98"/>
    </row>
    <row r="1437" spans="6:6" x14ac:dyDescent="0.3">
      <c r="F1437" s="98"/>
    </row>
    <row r="1438" spans="6:6" x14ac:dyDescent="0.3">
      <c r="F1438" s="98"/>
    </row>
    <row r="1439" spans="6:6" x14ac:dyDescent="0.3">
      <c r="F1439" s="98"/>
    </row>
    <row r="1440" spans="6:6" x14ac:dyDescent="0.3">
      <c r="F1440" s="98"/>
    </row>
    <row r="1441" spans="6:6" x14ac:dyDescent="0.3">
      <c r="F1441" s="98"/>
    </row>
    <row r="1442" spans="6:6" x14ac:dyDescent="0.3">
      <c r="F1442" s="98"/>
    </row>
    <row r="1443" spans="6:6" x14ac:dyDescent="0.3">
      <c r="F1443" s="98"/>
    </row>
    <row r="1444" spans="6:6" x14ac:dyDescent="0.3">
      <c r="F1444" s="98"/>
    </row>
    <row r="1445" spans="6:6" x14ac:dyDescent="0.3">
      <c r="F1445" s="98"/>
    </row>
    <row r="1446" spans="6:6" x14ac:dyDescent="0.3">
      <c r="F1446" s="98"/>
    </row>
    <row r="1447" spans="6:6" x14ac:dyDescent="0.3">
      <c r="F1447" s="98"/>
    </row>
    <row r="1448" spans="6:6" x14ac:dyDescent="0.3">
      <c r="F1448" s="98"/>
    </row>
    <row r="1449" spans="6:6" x14ac:dyDescent="0.3">
      <c r="F1449" s="98"/>
    </row>
    <row r="1450" spans="6:6" x14ac:dyDescent="0.3">
      <c r="F1450" s="98"/>
    </row>
    <row r="1451" spans="6:6" x14ac:dyDescent="0.3">
      <c r="F1451" s="98"/>
    </row>
    <row r="1452" spans="6:6" x14ac:dyDescent="0.3">
      <c r="F1452" s="98"/>
    </row>
    <row r="1453" spans="6:6" x14ac:dyDescent="0.3">
      <c r="F1453" s="98"/>
    </row>
    <row r="1454" spans="6:6" x14ac:dyDescent="0.3">
      <c r="F1454" s="98"/>
    </row>
    <row r="1455" spans="6:6" x14ac:dyDescent="0.3">
      <c r="F1455" s="98"/>
    </row>
    <row r="1456" spans="6:6" x14ac:dyDescent="0.3">
      <c r="F1456" s="98"/>
    </row>
    <row r="1457" spans="6:6" x14ac:dyDescent="0.3">
      <c r="F1457" s="98"/>
    </row>
    <row r="1458" spans="6:6" x14ac:dyDescent="0.3">
      <c r="F1458" s="98"/>
    </row>
    <row r="1459" spans="6:6" x14ac:dyDescent="0.3">
      <c r="F1459" s="98"/>
    </row>
    <row r="1460" spans="6:6" x14ac:dyDescent="0.3">
      <c r="F1460" s="98"/>
    </row>
    <row r="1461" spans="6:6" x14ac:dyDescent="0.3">
      <c r="F1461" s="98"/>
    </row>
    <row r="1462" spans="6:6" x14ac:dyDescent="0.3">
      <c r="F1462" s="98"/>
    </row>
    <row r="1463" spans="6:6" x14ac:dyDescent="0.3">
      <c r="F1463" s="98"/>
    </row>
    <row r="1464" spans="6:6" x14ac:dyDescent="0.3">
      <c r="F1464" s="98"/>
    </row>
    <row r="1465" spans="6:6" x14ac:dyDescent="0.3">
      <c r="F1465" s="98"/>
    </row>
    <row r="1466" spans="6:6" x14ac:dyDescent="0.3">
      <c r="F1466" s="98"/>
    </row>
    <row r="1467" spans="6:6" x14ac:dyDescent="0.3">
      <c r="F1467" s="98"/>
    </row>
    <row r="1468" spans="6:6" x14ac:dyDescent="0.3">
      <c r="F1468" s="98"/>
    </row>
    <row r="1469" spans="6:6" x14ac:dyDescent="0.3">
      <c r="F1469" s="98"/>
    </row>
    <row r="1470" spans="6:6" x14ac:dyDescent="0.3">
      <c r="F1470" s="98"/>
    </row>
    <row r="1471" spans="6:6" x14ac:dyDescent="0.3">
      <c r="F1471" s="98"/>
    </row>
    <row r="1472" spans="6:6" x14ac:dyDescent="0.3">
      <c r="F1472" s="98"/>
    </row>
    <row r="1473" spans="6:6" x14ac:dyDescent="0.3">
      <c r="F1473" s="98"/>
    </row>
    <row r="1474" spans="6:6" x14ac:dyDescent="0.3">
      <c r="F1474" s="98"/>
    </row>
    <row r="1475" spans="6:6" x14ac:dyDescent="0.3">
      <c r="F1475" s="98"/>
    </row>
    <row r="1476" spans="6:6" x14ac:dyDescent="0.3">
      <c r="F1476" s="98"/>
    </row>
    <row r="1477" spans="6:6" x14ac:dyDescent="0.3">
      <c r="F1477" s="98"/>
    </row>
    <row r="1478" spans="6:6" x14ac:dyDescent="0.3">
      <c r="F1478" s="98"/>
    </row>
    <row r="1479" spans="6:6" x14ac:dyDescent="0.3">
      <c r="F1479" s="98"/>
    </row>
    <row r="1480" spans="6:6" x14ac:dyDescent="0.3">
      <c r="F1480" s="98"/>
    </row>
    <row r="1481" spans="6:6" x14ac:dyDescent="0.3">
      <c r="F1481" s="98"/>
    </row>
    <row r="1482" spans="6:6" x14ac:dyDescent="0.3">
      <c r="F1482" s="98"/>
    </row>
    <row r="1483" spans="6:6" x14ac:dyDescent="0.3">
      <c r="F1483" s="98"/>
    </row>
    <row r="1484" spans="6:6" x14ac:dyDescent="0.3">
      <c r="F1484" s="98"/>
    </row>
    <row r="1485" spans="6:6" x14ac:dyDescent="0.3">
      <c r="F1485" s="98"/>
    </row>
    <row r="1486" spans="6:6" x14ac:dyDescent="0.3">
      <c r="F1486" s="98"/>
    </row>
    <row r="1487" spans="6:6" x14ac:dyDescent="0.3">
      <c r="F1487" s="98"/>
    </row>
    <row r="1488" spans="6:6" x14ac:dyDescent="0.3">
      <c r="F1488" s="98"/>
    </row>
    <row r="1489" spans="6:6" x14ac:dyDescent="0.3">
      <c r="F1489" s="98"/>
    </row>
    <row r="1490" spans="6:6" x14ac:dyDescent="0.3">
      <c r="F1490" s="98"/>
    </row>
    <row r="1491" spans="6:6" x14ac:dyDescent="0.3">
      <c r="F1491" s="98"/>
    </row>
    <row r="1492" spans="6:6" x14ac:dyDescent="0.3">
      <c r="F1492" s="98"/>
    </row>
    <row r="1493" spans="6:6" x14ac:dyDescent="0.3">
      <c r="F1493" s="98"/>
    </row>
    <row r="1494" spans="6:6" x14ac:dyDescent="0.3">
      <c r="F1494" s="98"/>
    </row>
    <row r="1495" spans="6:6" x14ac:dyDescent="0.3">
      <c r="F1495" s="98"/>
    </row>
    <row r="1496" spans="6:6" x14ac:dyDescent="0.3">
      <c r="F1496" s="98"/>
    </row>
    <row r="1497" spans="6:6" x14ac:dyDescent="0.3">
      <c r="F1497" s="98"/>
    </row>
    <row r="1498" spans="6:6" x14ac:dyDescent="0.3">
      <c r="F1498" s="98"/>
    </row>
    <row r="1499" spans="6:6" x14ac:dyDescent="0.3">
      <c r="F1499" s="98"/>
    </row>
    <row r="1500" spans="6:6" x14ac:dyDescent="0.3">
      <c r="F1500" s="98"/>
    </row>
    <row r="1501" spans="6:6" x14ac:dyDescent="0.3">
      <c r="F1501" s="98"/>
    </row>
    <row r="1502" spans="6:6" x14ac:dyDescent="0.3">
      <c r="F1502" s="98"/>
    </row>
    <row r="1503" spans="6:6" x14ac:dyDescent="0.3">
      <c r="F1503" s="98"/>
    </row>
    <row r="1504" spans="6:6" x14ac:dyDescent="0.3">
      <c r="F1504" s="98"/>
    </row>
    <row r="1505" spans="6:6" x14ac:dyDescent="0.3">
      <c r="F1505" s="98"/>
    </row>
    <row r="1506" spans="6:6" x14ac:dyDescent="0.3">
      <c r="F1506" s="98"/>
    </row>
    <row r="1507" spans="6:6" x14ac:dyDescent="0.3">
      <c r="F1507" s="98"/>
    </row>
    <row r="1508" spans="6:6" x14ac:dyDescent="0.3">
      <c r="F1508" s="98"/>
    </row>
    <row r="1509" spans="6:6" x14ac:dyDescent="0.3">
      <c r="F1509" s="98"/>
    </row>
    <row r="1510" spans="6:6" x14ac:dyDescent="0.3">
      <c r="F1510" s="98"/>
    </row>
    <row r="1511" spans="6:6" x14ac:dyDescent="0.3">
      <c r="F1511" s="98"/>
    </row>
    <row r="1512" spans="6:6" x14ac:dyDescent="0.3">
      <c r="F1512" s="98"/>
    </row>
    <row r="1513" spans="6:6" x14ac:dyDescent="0.3">
      <c r="F1513" s="98"/>
    </row>
    <row r="1514" spans="6:6" x14ac:dyDescent="0.3">
      <c r="F1514" s="98"/>
    </row>
    <row r="1515" spans="6:6" x14ac:dyDescent="0.3">
      <c r="F1515" s="98"/>
    </row>
    <row r="1516" spans="6:6" x14ac:dyDescent="0.3">
      <c r="F1516" s="98"/>
    </row>
    <row r="1517" spans="6:6" x14ac:dyDescent="0.3">
      <c r="F1517" s="98"/>
    </row>
    <row r="1518" spans="6:6" x14ac:dyDescent="0.3">
      <c r="F1518" s="98"/>
    </row>
    <row r="1519" spans="6:6" x14ac:dyDescent="0.3">
      <c r="F1519" s="98"/>
    </row>
    <row r="1520" spans="6:6" x14ac:dyDescent="0.3">
      <c r="F1520" s="98"/>
    </row>
    <row r="1521" spans="6:6" x14ac:dyDescent="0.3">
      <c r="F1521" s="98"/>
    </row>
    <row r="1522" spans="6:6" x14ac:dyDescent="0.3">
      <c r="F1522" s="98"/>
    </row>
    <row r="1523" spans="6:6" x14ac:dyDescent="0.3">
      <c r="F1523" s="98"/>
    </row>
    <row r="1524" spans="6:6" x14ac:dyDescent="0.3">
      <c r="F1524" s="98"/>
    </row>
    <row r="1525" spans="6:6" x14ac:dyDescent="0.3">
      <c r="F1525" s="98"/>
    </row>
    <row r="1526" spans="6:6" x14ac:dyDescent="0.3">
      <c r="F1526" s="98"/>
    </row>
    <row r="1527" spans="6:6" x14ac:dyDescent="0.3">
      <c r="F1527" s="98"/>
    </row>
    <row r="1528" spans="6:6" x14ac:dyDescent="0.3">
      <c r="F1528" s="98"/>
    </row>
    <row r="1529" spans="6:6" x14ac:dyDescent="0.3">
      <c r="F1529" s="98"/>
    </row>
    <row r="1530" spans="6:6" x14ac:dyDescent="0.3">
      <c r="F1530" s="98"/>
    </row>
    <row r="1531" spans="6:6" x14ac:dyDescent="0.3">
      <c r="F1531" s="98"/>
    </row>
    <row r="1532" spans="6:6" x14ac:dyDescent="0.3">
      <c r="F1532" s="98"/>
    </row>
    <row r="1533" spans="6:6" x14ac:dyDescent="0.3">
      <c r="F1533" s="98"/>
    </row>
    <row r="1534" spans="6:6" x14ac:dyDescent="0.3">
      <c r="F1534" s="98"/>
    </row>
    <row r="1535" spans="6:6" x14ac:dyDescent="0.3">
      <c r="F1535" s="98"/>
    </row>
    <row r="1536" spans="6:6" x14ac:dyDescent="0.3">
      <c r="F1536" s="98"/>
    </row>
    <row r="1537" spans="6:6" x14ac:dyDescent="0.3">
      <c r="F1537" s="98"/>
    </row>
    <row r="1538" spans="6:6" x14ac:dyDescent="0.3">
      <c r="F1538" s="98"/>
    </row>
    <row r="1539" spans="6:6" x14ac:dyDescent="0.3">
      <c r="F1539" s="98"/>
    </row>
    <row r="1540" spans="6:6" x14ac:dyDescent="0.3">
      <c r="F1540" s="98"/>
    </row>
    <row r="1541" spans="6:6" x14ac:dyDescent="0.3">
      <c r="F1541" s="98"/>
    </row>
    <row r="1542" spans="6:6" x14ac:dyDescent="0.3">
      <c r="F1542" s="98"/>
    </row>
    <row r="1543" spans="6:6" x14ac:dyDescent="0.3">
      <c r="F1543" s="98"/>
    </row>
    <row r="1544" spans="6:6" x14ac:dyDescent="0.3">
      <c r="F1544" s="98"/>
    </row>
    <row r="1545" spans="6:6" x14ac:dyDescent="0.3">
      <c r="F1545" s="98"/>
    </row>
    <row r="1546" spans="6:6" x14ac:dyDescent="0.3">
      <c r="F1546" s="98"/>
    </row>
    <row r="1547" spans="6:6" x14ac:dyDescent="0.3">
      <c r="F1547" s="98"/>
    </row>
    <row r="1548" spans="6:6" x14ac:dyDescent="0.3">
      <c r="F1548" s="98"/>
    </row>
    <row r="1549" spans="6:6" x14ac:dyDescent="0.3">
      <c r="F1549" s="98"/>
    </row>
    <row r="1550" spans="6:6" x14ac:dyDescent="0.3">
      <c r="F1550" s="98"/>
    </row>
    <row r="1551" spans="6:6" x14ac:dyDescent="0.3">
      <c r="F1551" s="98"/>
    </row>
    <row r="1552" spans="6:6" x14ac:dyDescent="0.3">
      <c r="F1552" s="98"/>
    </row>
    <row r="1553" spans="6:6" x14ac:dyDescent="0.3">
      <c r="F1553" s="98"/>
    </row>
    <row r="1554" spans="6:6" x14ac:dyDescent="0.3">
      <c r="F1554" s="98"/>
    </row>
    <row r="1555" spans="6:6" x14ac:dyDescent="0.3">
      <c r="F1555" s="98"/>
    </row>
    <row r="1556" spans="6:6" x14ac:dyDescent="0.3">
      <c r="F1556" s="98"/>
    </row>
    <row r="1557" spans="6:6" x14ac:dyDescent="0.3">
      <c r="F1557" s="98"/>
    </row>
    <row r="1558" spans="6:6" x14ac:dyDescent="0.3">
      <c r="F1558" s="98"/>
    </row>
    <row r="1559" spans="6:6" x14ac:dyDescent="0.3">
      <c r="F1559" s="98"/>
    </row>
    <row r="1560" spans="6:6" x14ac:dyDescent="0.3">
      <c r="F1560" s="98"/>
    </row>
    <row r="1561" spans="6:6" x14ac:dyDescent="0.3">
      <c r="F1561" s="98"/>
    </row>
    <row r="1562" spans="6:6" x14ac:dyDescent="0.3">
      <c r="F1562" s="98"/>
    </row>
    <row r="1563" spans="6:6" x14ac:dyDescent="0.3">
      <c r="F1563" s="98"/>
    </row>
    <row r="1564" spans="6:6" x14ac:dyDescent="0.3">
      <c r="F1564" s="98"/>
    </row>
    <row r="1565" spans="6:6" x14ac:dyDescent="0.3">
      <c r="F1565" s="98"/>
    </row>
    <row r="1566" spans="6:6" x14ac:dyDescent="0.3">
      <c r="F1566" s="98"/>
    </row>
    <row r="1567" spans="6:6" x14ac:dyDescent="0.3">
      <c r="F1567" s="98"/>
    </row>
    <row r="1568" spans="6:6" x14ac:dyDescent="0.3">
      <c r="F1568" s="98"/>
    </row>
    <row r="1569" spans="6:6" x14ac:dyDescent="0.3">
      <c r="F1569" s="98"/>
    </row>
    <row r="1570" spans="6:6" x14ac:dyDescent="0.3">
      <c r="F1570" s="98"/>
    </row>
    <row r="1571" spans="6:6" x14ac:dyDescent="0.3">
      <c r="F1571" s="98"/>
    </row>
    <row r="1572" spans="6:6" x14ac:dyDescent="0.3">
      <c r="F1572" s="98"/>
    </row>
    <row r="1573" spans="6:6" x14ac:dyDescent="0.3">
      <c r="F1573" s="98"/>
    </row>
    <row r="1574" spans="6:6" x14ac:dyDescent="0.3">
      <c r="F1574" s="98"/>
    </row>
    <row r="1575" spans="6:6" x14ac:dyDescent="0.3">
      <c r="F1575" s="98"/>
    </row>
    <row r="1576" spans="6:6" x14ac:dyDescent="0.3">
      <c r="F1576" s="98"/>
    </row>
    <row r="1577" spans="6:6" x14ac:dyDescent="0.3">
      <c r="F1577" s="98"/>
    </row>
    <row r="1578" spans="6:6" x14ac:dyDescent="0.3">
      <c r="F1578" s="98"/>
    </row>
    <row r="1579" spans="6:6" x14ac:dyDescent="0.3">
      <c r="F1579" s="98"/>
    </row>
    <row r="1580" spans="6:6" x14ac:dyDescent="0.3">
      <c r="F1580" s="98"/>
    </row>
    <row r="1581" spans="6:6" x14ac:dyDescent="0.3">
      <c r="F1581" s="98"/>
    </row>
    <row r="1582" spans="6:6" x14ac:dyDescent="0.3">
      <c r="F1582" s="98"/>
    </row>
    <row r="1583" spans="6:6" x14ac:dyDescent="0.3">
      <c r="F1583" s="98"/>
    </row>
    <row r="1584" spans="6:6" x14ac:dyDescent="0.3">
      <c r="F1584" s="98"/>
    </row>
    <row r="1585" spans="6:6" x14ac:dyDescent="0.3">
      <c r="F1585" s="98"/>
    </row>
    <row r="1586" spans="6:6" x14ac:dyDescent="0.3">
      <c r="F1586" s="98"/>
    </row>
    <row r="1587" spans="6:6" x14ac:dyDescent="0.3">
      <c r="F1587" s="98"/>
    </row>
    <row r="1588" spans="6:6" x14ac:dyDescent="0.3">
      <c r="F1588" s="98"/>
    </row>
    <row r="1589" spans="6:6" x14ac:dyDescent="0.3">
      <c r="F1589" s="98"/>
    </row>
    <row r="1590" spans="6:6" x14ac:dyDescent="0.3">
      <c r="F1590" s="98"/>
    </row>
    <row r="1591" spans="6:6" x14ac:dyDescent="0.3">
      <c r="F1591" s="98"/>
    </row>
    <row r="1592" spans="6:6" x14ac:dyDescent="0.3">
      <c r="F1592" s="98"/>
    </row>
    <row r="1593" spans="6:6" x14ac:dyDescent="0.3">
      <c r="F1593" s="98"/>
    </row>
    <row r="1594" spans="6:6" x14ac:dyDescent="0.3">
      <c r="F1594" s="98"/>
    </row>
    <row r="1595" spans="6:6" x14ac:dyDescent="0.3">
      <c r="F1595" s="98"/>
    </row>
    <row r="1596" spans="6:6" x14ac:dyDescent="0.3">
      <c r="F1596" s="98"/>
    </row>
    <row r="1597" spans="6:6" x14ac:dyDescent="0.3">
      <c r="F1597" s="98"/>
    </row>
    <row r="1598" spans="6:6" x14ac:dyDescent="0.3">
      <c r="F1598" s="98"/>
    </row>
    <row r="1599" spans="6:6" x14ac:dyDescent="0.3">
      <c r="F1599" s="98"/>
    </row>
    <row r="1600" spans="6:6" x14ac:dyDescent="0.3">
      <c r="F1600" s="98"/>
    </row>
    <row r="1601" spans="6:6" x14ac:dyDescent="0.3">
      <c r="F1601" s="98"/>
    </row>
    <row r="1602" spans="6:6" x14ac:dyDescent="0.3">
      <c r="F1602" s="98"/>
    </row>
    <row r="1603" spans="6:6" x14ac:dyDescent="0.3">
      <c r="F1603" s="98"/>
    </row>
    <row r="1604" spans="6:6" x14ac:dyDescent="0.3">
      <c r="F1604" s="98"/>
    </row>
    <row r="1605" spans="6:6" x14ac:dyDescent="0.3">
      <c r="F1605" s="98"/>
    </row>
    <row r="1606" spans="6:6" x14ac:dyDescent="0.3">
      <c r="F1606" s="98"/>
    </row>
    <row r="1607" spans="6:6" x14ac:dyDescent="0.3">
      <c r="F1607" s="98"/>
    </row>
    <row r="1608" spans="6:6" x14ac:dyDescent="0.3">
      <c r="F1608" s="98"/>
    </row>
    <row r="1609" spans="6:6" x14ac:dyDescent="0.3">
      <c r="F1609" s="98"/>
    </row>
    <row r="1610" spans="6:6" x14ac:dyDescent="0.3">
      <c r="F1610" s="98"/>
    </row>
    <row r="1611" spans="6:6" x14ac:dyDescent="0.3">
      <c r="F1611" s="98"/>
    </row>
    <row r="1612" spans="6:6" x14ac:dyDescent="0.3">
      <c r="F1612" s="98"/>
    </row>
    <row r="1613" spans="6:6" x14ac:dyDescent="0.3">
      <c r="F1613" s="98"/>
    </row>
    <row r="1614" spans="6:6" x14ac:dyDescent="0.3">
      <c r="F1614" s="98"/>
    </row>
    <row r="1615" spans="6:6" x14ac:dyDescent="0.3">
      <c r="F1615" s="98"/>
    </row>
    <row r="1616" spans="6:6" x14ac:dyDescent="0.3">
      <c r="F1616" s="98"/>
    </row>
    <row r="1617" spans="6:6" x14ac:dyDescent="0.3">
      <c r="F1617" s="98"/>
    </row>
    <row r="1618" spans="6:6" x14ac:dyDescent="0.3">
      <c r="F1618" s="98"/>
    </row>
    <row r="1619" spans="6:6" x14ac:dyDescent="0.3">
      <c r="F1619" s="98"/>
    </row>
    <row r="1620" spans="6:6" x14ac:dyDescent="0.3">
      <c r="F1620" s="98"/>
    </row>
    <row r="1621" spans="6:6" x14ac:dyDescent="0.3">
      <c r="F1621" s="98"/>
    </row>
    <row r="1622" spans="6:6" x14ac:dyDescent="0.3">
      <c r="F1622" s="98"/>
    </row>
    <row r="1623" spans="6:6" x14ac:dyDescent="0.3">
      <c r="F1623" s="98"/>
    </row>
    <row r="1624" spans="6:6" x14ac:dyDescent="0.3">
      <c r="F1624" s="98"/>
    </row>
    <row r="1625" spans="6:6" x14ac:dyDescent="0.3">
      <c r="F1625" s="98"/>
    </row>
    <row r="1626" spans="6:6" x14ac:dyDescent="0.3">
      <c r="F1626" s="98"/>
    </row>
    <row r="1627" spans="6:6" x14ac:dyDescent="0.3">
      <c r="F1627" s="98"/>
    </row>
    <row r="1628" spans="6:6" x14ac:dyDescent="0.3">
      <c r="F1628" s="98"/>
    </row>
    <row r="1629" spans="6:6" x14ac:dyDescent="0.3">
      <c r="F1629" s="98"/>
    </row>
    <row r="1630" spans="6:6" x14ac:dyDescent="0.3">
      <c r="F1630" s="98"/>
    </row>
    <row r="1631" spans="6:6" x14ac:dyDescent="0.3">
      <c r="F1631" s="98"/>
    </row>
    <row r="1632" spans="6:6" x14ac:dyDescent="0.3">
      <c r="F1632" s="98"/>
    </row>
    <row r="1633" spans="6:6" x14ac:dyDescent="0.3">
      <c r="F1633" s="98"/>
    </row>
    <row r="1634" spans="6:6" x14ac:dyDescent="0.3">
      <c r="F1634" s="98"/>
    </row>
    <row r="1635" spans="6:6" x14ac:dyDescent="0.3">
      <c r="F1635" s="98"/>
    </row>
    <row r="1636" spans="6:6" x14ac:dyDescent="0.3">
      <c r="F1636" s="98"/>
    </row>
    <row r="1637" spans="6:6" x14ac:dyDescent="0.3">
      <c r="F1637" s="98"/>
    </row>
    <row r="1638" spans="6:6" x14ac:dyDescent="0.3">
      <c r="F1638" s="98"/>
    </row>
    <row r="1639" spans="6:6" x14ac:dyDescent="0.3">
      <c r="F1639" s="98"/>
    </row>
    <row r="1640" spans="6:6" x14ac:dyDescent="0.3">
      <c r="F1640" s="98"/>
    </row>
    <row r="1641" spans="6:6" x14ac:dyDescent="0.3">
      <c r="F1641" s="98"/>
    </row>
    <row r="1642" spans="6:6" x14ac:dyDescent="0.3">
      <c r="F1642" s="98"/>
    </row>
    <row r="1643" spans="6:6" x14ac:dyDescent="0.3">
      <c r="F1643" s="98"/>
    </row>
    <row r="1644" spans="6:6" x14ac:dyDescent="0.3">
      <c r="F1644" s="98"/>
    </row>
    <row r="1645" spans="6:6" x14ac:dyDescent="0.3">
      <c r="F1645" s="98"/>
    </row>
    <row r="1646" spans="6:6" x14ac:dyDescent="0.3">
      <c r="F1646" s="98"/>
    </row>
    <row r="1647" spans="6:6" x14ac:dyDescent="0.3">
      <c r="F1647" s="98"/>
    </row>
    <row r="1648" spans="6:6" x14ac:dyDescent="0.3">
      <c r="F1648" s="98"/>
    </row>
    <row r="1649" spans="6:6" x14ac:dyDescent="0.3">
      <c r="F1649" s="98"/>
    </row>
    <row r="1650" spans="6:6" x14ac:dyDescent="0.3">
      <c r="F1650" s="98"/>
    </row>
    <row r="1651" spans="6:6" x14ac:dyDescent="0.3">
      <c r="F1651" s="98"/>
    </row>
    <row r="1652" spans="6:6" x14ac:dyDescent="0.3">
      <c r="F1652" s="98"/>
    </row>
    <row r="1653" spans="6:6" x14ac:dyDescent="0.3">
      <c r="F1653" s="98"/>
    </row>
    <row r="1654" spans="6:6" x14ac:dyDescent="0.3">
      <c r="F1654" s="98"/>
    </row>
    <row r="1655" spans="6:6" x14ac:dyDescent="0.3">
      <c r="F1655" s="98"/>
    </row>
    <row r="1656" spans="6:6" x14ac:dyDescent="0.3">
      <c r="F1656" s="98"/>
    </row>
    <row r="1657" spans="6:6" x14ac:dyDescent="0.3">
      <c r="F1657" s="98"/>
    </row>
    <row r="1658" spans="6:6" x14ac:dyDescent="0.3">
      <c r="F1658" s="98"/>
    </row>
    <row r="1659" spans="6:6" x14ac:dyDescent="0.3">
      <c r="F1659" s="98"/>
    </row>
    <row r="1660" spans="6:6" x14ac:dyDescent="0.3">
      <c r="F1660" s="98"/>
    </row>
    <row r="1661" spans="6:6" x14ac:dyDescent="0.3">
      <c r="F1661" s="98"/>
    </row>
    <row r="1662" spans="6:6" x14ac:dyDescent="0.3">
      <c r="F1662" s="98"/>
    </row>
    <row r="1663" spans="6:6" x14ac:dyDescent="0.3">
      <c r="F1663" s="98"/>
    </row>
    <row r="1664" spans="6:6" x14ac:dyDescent="0.3">
      <c r="F1664" s="98"/>
    </row>
    <row r="1665" spans="6:6" x14ac:dyDescent="0.3">
      <c r="F1665" s="98"/>
    </row>
    <row r="1666" spans="6:6" x14ac:dyDescent="0.3">
      <c r="F1666" s="98"/>
    </row>
    <row r="1667" spans="6:6" x14ac:dyDescent="0.3">
      <c r="F1667" s="98"/>
    </row>
    <row r="1668" spans="6:6" x14ac:dyDescent="0.3">
      <c r="F1668" s="98"/>
    </row>
    <row r="1669" spans="6:6" x14ac:dyDescent="0.3">
      <c r="F1669" s="98"/>
    </row>
    <row r="1670" spans="6:6" x14ac:dyDescent="0.3">
      <c r="F1670" s="98"/>
    </row>
    <row r="1671" spans="6:6" x14ac:dyDescent="0.3">
      <c r="F1671" s="98"/>
    </row>
    <row r="1672" spans="6:6" x14ac:dyDescent="0.3">
      <c r="F1672" s="98"/>
    </row>
    <row r="1673" spans="6:6" x14ac:dyDescent="0.3">
      <c r="F1673" s="98"/>
    </row>
    <row r="1674" spans="6:6" x14ac:dyDescent="0.3">
      <c r="F1674" s="98"/>
    </row>
    <row r="1675" spans="6:6" x14ac:dyDescent="0.3">
      <c r="F1675" s="98"/>
    </row>
    <row r="1676" spans="6:6" x14ac:dyDescent="0.3">
      <c r="F1676" s="98"/>
    </row>
    <row r="1677" spans="6:6" x14ac:dyDescent="0.3">
      <c r="F1677" s="98"/>
    </row>
    <row r="1678" spans="6:6" x14ac:dyDescent="0.3">
      <c r="F1678" s="98"/>
    </row>
    <row r="1679" spans="6:6" x14ac:dyDescent="0.3">
      <c r="F1679" s="98"/>
    </row>
    <row r="1680" spans="6:6" x14ac:dyDescent="0.3">
      <c r="F1680" s="98"/>
    </row>
    <row r="1681" spans="6:6" x14ac:dyDescent="0.3">
      <c r="F1681" s="98"/>
    </row>
    <row r="1682" spans="6:6" x14ac:dyDescent="0.3">
      <c r="F1682" s="98"/>
    </row>
    <row r="1683" spans="6:6" x14ac:dyDescent="0.3">
      <c r="F1683" s="98"/>
    </row>
    <row r="1684" spans="6:6" x14ac:dyDescent="0.3">
      <c r="F1684" s="98"/>
    </row>
    <row r="1685" spans="6:6" x14ac:dyDescent="0.3">
      <c r="F1685" s="98"/>
    </row>
    <row r="1686" spans="6:6" x14ac:dyDescent="0.3">
      <c r="F1686" s="98"/>
    </row>
    <row r="1687" spans="6:6" x14ac:dyDescent="0.3">
      <c r="F1687" s="98"/>
    </row>
    <row r="1688" spans="6:6" x14ac:dyDescent="0.3">
      <c r="F1688" s="98"/>
    </row>
    <row r="1689" spans="6:6" x14ac:dyDescent="0.3">
      <c r="F1689" s="98"/>
    </row>
    <row r="1690" spans="6:6" x14ac:dyDescent="0.3">
      <c r="F1690" s="98"/>
    </row>
    <row r="1691" spans="6:6" x14ac:dyDescent="0.3">
      <c r="F1691" s="98"/>
    </row>
    <row r="1692" spans="6:6" x14ac:dyDescent="0.3">
      <c r="F1692" s="98"/>
    </row>
    <row r="1693" spans="6:6" x14ac:dyDescent="0.3">
      <c r="F1693" s="98"/>
    </row>
    <row r="1694" spans="6:6" x14ac:dyDescent="0.3">
      <c r="F1694" s="98"/>
    </row>
    <row r="1695" spans="6:6" x14ac:dyDescent="0.3">
      <c r="F1695" s="98"/>
    </row>
    <row r="1696" spans="6:6" x14ac:dyDescent="0.3">
      <c r="F1696" s="98"/>
    </row>
    <row r="1697" spans="6:6" x14ac:dyDescent="0.3">
      <c r="F1697" s="98"/>
    </row>
    <row r="1698" spans="6:6" x14ac:dyDescent="0.3">
      <c r="F1698" s="98"/>
    </row>
    <row r="1699" spans="6:6" x14ac:dyDescent="0.3">
      <c r="F1699" s="98"/>
    </row>
    <row r="1700" spans="6:6" x14ac:dyDescent="0.3">
      <c r="F1700" s="98"/>
    </row>
    <row r="1701" spans="6:6" x14ac:dyDescent="0.3">
      <c r="F1701" s="98"/>
    </row>
    <row r="1702" spans="6:6" x14ac:dyDescent="0.3">
      <c r="F1702" s="98"/>
    </row>
    <row r="1703" spans="6:6" x14ac:dyDescent="0.3">
      <c r="F1703" s="98"/>
    </row>
    <row r="1704" spans="6:6" x14ac:dyDescent="0.3">
      <c r="F1704" s="98"/>
    </row>
    <row r="1705" spans="6:6" x14ac:dyDescent="0.3">
      <c r="F1705" s="98"/>
    </row>
    <row r="1706" spans="6:6" x14ac:dyDescent="0.3">
      <c r="F1706" s="98"/>
    </row>
    <row r="1707" spans="6:6" x14ac:dyDescent="0.3">
      <c r="F1707" s="98"/>
    </row>
    <row r="1708" spans="6:6" x14ac:dyDescent="0.3">
      <c r="F1708" s="98"/>
    </row>
    <row r="1709" spans="6:6" x14ac:dyDescent="0.3">
      <c r="F1709" s="98"/>
    </row>
    <row r="1710" spans="6:6" x14ac:dyDescent="0.3">
      <c r="F1710" s="98"/>
    </row>
    <row r="1711" spans="6:6" x14ac:dyDescent="0.3">
      <c r="F1711" s="98"/>
    </row>
    <row r="1712" spans="6:6" x14ac:dyDescent="0.3">
      <c r="F1712" s="98"/>
    </row>
    <row r="1713" spans="6:6" x14ac:dyDescent="0.3">
      <c r="F1713" s="98"/>
    </row>
    <row r="1714" spans="6:6" x14ac:dyDescent="0.3">
      <c r="F1714" s="98"/>
    </row>
    <row r="1715" spans="6:6" x14ac:dyDescent="0.3">
      <c r="F1715" s="98"/>
    </row>
    <row r="1716" spans="6:6" x14ac:dyDescent="0.3">
      <c r="F1716" s="98"/>
    </row>
    <row r="1717" spans="6:6" x14ac:dyDescent="0.3">
      <c r="F1717" s="98"/>
    </row>
    <row r="1718" spans="6:6" x14ac:dyDescent="0.3">
      <c r="F1718" s="98"/>
    </row>
    <row r="1719" spans="6:6" x14ac:dyDescent="0.3">
      <c r="F1719" s="98"/>
    </row>
    <row r="1720" spans="6:6" x14ac:dyDescent="0.3">
      <c r="F1720" s="98"/>
    </row>
    <row r="1721" spans="6:6" x14ac:dyDescent="0.3">
      <c r="F1721" s="98"/>
    </row>
    <row r="1722" spans="6:6" x14ac:dyDescent="0.3">
      <c r="F1722" s="98"/>
    </row>
    <row r="1723" spans="6:6" x14ac:dyDescent="0.3">
      <c r="F1723" s="98"/>
    </row>
    <row r="1724" spans="6:6" x14ac:dyDescent="0.3">
      <c r="F1724" s="98"/>
    </row>
    <row r="1725" spans="6:6" x14ac:dyDescent="0.3">
      <c r="F1725" s="98"/>
    </row>
    <row r="1726" spans="6:6" x14ac:dyDescent="0.3">
      <c r="F1726" s="98"/>
    </row>
    <row r="1727" spans="6:6" x14ac:dyDescent="0.3">
      <c r="F1727" s="98"/>
    </row>
    <row r="1728" spans="6:6" x14ac:dyDescent="0.3">
      <c r="F1728" s="98"/>
    </row>
    <row r="1729" spans="6:6" x14ac:dyDescent="0.3">
      <c r="F1729" s="98"/>
    </row>
    <row r="1730" spans="6:6" x14ac:dyDescent="0.3">
      <c r="F1730" s="98"/>
    </row>
    <row r="1731" spans="6:6" x14ac:dyDescent="0.3">
      <c r="F1731" s="98"/>
    </row>
    <row r="1732" spans="6:6" x14ac:dyDescent="0.3">
      <c r="F1732" s="98"/>
    </row>
    <row r="1733" spans="6:6" x14ac:dyDescent="0.3">
      <c r="F1733" s="98"/>
    </row>
    <row r="1734" spans="6:6" x14ac:dyDescent="0.3">
      <c r="F1734" s="98"/>
    </row>
    <row r="1735" spans="6:6" x14ac:dyDescent="0.3">
      <c r="F1735" s="98"/>
    </row>
    <row r="1736" spans="6:6" x14ac:dyDescent="0.3">
      <c r="F1736" s="98"/>
    </row>
    <row r="1737" spans="6:6" x14ac:dyDescent="0.3">
      <c r="F1737" s="98"/>
    </row>
    <row r="1738" spans="6:6" x14ac:dyDescent="0.3">
      <c r="F1738" s="98"/>
    </row>
    <row r="1739" spans="6:6" x14ac:dyDescent="0.3">
      <c r="F1739" s="98"/>
    </row>
    <row r="1740" spans="6:6" x14ac:dyDescent="0.3">
      <c r="F1740" s="98"/>
    </row>
    <row r="1741" spans="6:6" x14ac:dyDescent="0.3">
      <c r="F1741" s="98"/>
    </row>
    <row r="1742" spans="6:6" x14ac:dyDescent="0.3">
      <c r="F1742" s="98"/>
    </row>
    <row r="1743" spans="6:6" x14ac:dyDescent="0.3">
      <c r="F1743" s="98"/>
    </row>
    <row r="1744" spans="6:6" x14ac:dyDescent="0.3">
      <c r="F1744" s="98"/>
    </row>
    <row r="1745" spans="6:6" x14ac:dyDescent="0.3">
      <c r="F1745" s="98"/>
    </row>
    <row r="1746" spans="6:6" x14ac:dyDescent="0.3">
      <c r="F1746" s="98"/>
    </row>
    <row r="1747" spans="6:6" x14ac:dyDescent="0.3">
      <c r="F1747" s="98"/>
    </row>
    <row r="1748" spans="6:6" x14ac:dyDescent="0.3">
      <c r="F1748" s="98"/>
    </row>
    <row r="1749" spans="6:6" x14ac:dyDescent="0.3">
      <c r="F1749" s="98"/>
    </row>
    <row r="1750" spans="6:6" x14ac:dyDescent="0.3">
      <c r="F1750" s="98"/>
    </row>
    <row r="1751" spans="6:6" x14ac:dyDescent="0.3">
      <c r="F1751" s="98"/>
    </row>
    <row r="1752" spans="6:6" x14ac:dyDescent="0.3">
      <c r="F1752" s="98"/>
    </row>
    <row r="1753" spans="6:6" x14ac:dyDescent="0.3">
      <c r="F1753" s="98"/>
    </row>
    <row r="1754" spans="6:6" x14ac:dyDescent="0.3">
      <c r="F1754" s="98"/>
    </row>
    <row r="1755" spans="6:6" x14ac:dyDescent="0.3">
      <c r="F1755" s="98"/>
    </row>
    <row r="1756" spans="6:6" x14ac:dyDescent="0.3">
      <c r="F1756" s="98"/>
    </row>
    <row r="1757" spans="6:6" x14ac:dyDescent="0.3">
      <c r="F1757" s="98"/>
    </row>
    <row r="1758" spans="6:6" x14ac:dyDescent="0.3">
      <c r="F1758" s="98"/>
    </row>
    <row r="1759" spans="6:6" x14ac:dyDescent="0.3">
      <c r="F1759" s="98"/>
    </row>
    <row r="1760" spans="6:6" x14ac:dyDescent="0.3">
      <c r="F1760" s="98"/>
    </row>
    <row r="1761" spans="6:6" x14ac:dyDescent="0.3">
      <c r="F1761" s="98"/>
    </row>
    <row r="1762" spans="6:6" x14ac:dyDescent="0.3">
      <c r="F1762" s="98"/>
    </row>
    <row r="1763" spans="6:6" x14ac:dyDescent="0.3">
      <c r="F1763" s="98"/>
    </row>
    <row r="1764" spans="6:6" x14ac:dyDescent="0.3">
      <c r="F1764" s="98"/>
    </row>
    <row r="1765" spans="6:6" x14ac:dyDescent="0.3">
      <c r="F1765" s="98"/>
    </row>
    <row r="1766" spans="6:6" x14ac:dyDescent="0.3">
      <c r="F1766" s="98"/>
    </row>
    <row r="1767" spans="6:6" x14ac:dyDescent="0.3">
      <c r="F1767" s="98"/>
    </row>
    <row r="1768" spans="6:6" x14ac:dyDescent="0.3">
      <c r="F1768" s="98"/>
    </row>
    <row r="1769" spans="6:6" x14ac:dyDescent="0.3">
      <c r="F1769" s="98"/>
    </row>
    <row r="1770" spans="6:6" x14ac:dyDescent="0.3">
      <c r="F1770" s="98"/>
    </row>
    <row r="1771" spans="6:6" x14ac:dyDescent="0.3">
      <c r="F1771" s="98"/>
    </row>
    <row r="1772" spans="6:6" x14ac:dyDescent="0.3">
      <c r="F1772" s="98"/>
    </row>
    <row r="1773" spans="6:6" x14ac:dyDescent="0.3">
      <c r="F1773" s="98"/>
    </row>
    <row r="1774" spans="6:6" x14ac:dyDescent="0.3">
      <c r="F1774" s="98"/>
    </row>
    <row r="1775" spans="6:6" x14ac:dyDescent="0.3">
      <c r="F1775" s="98"/>
    </row>
    <row r="1776" spans="6:6" x14ac:dyDescent="0.3">
      <c r="F1776" s="98"/>
    </row>
    <row r="1777" spans="6:6" x14ac:dyDescent="0.3">
      <c r="F1777" s="98"/>
    </row>
    <row r="1778" spans="6:6" x14ac:dyDescent="0.3">
      <c r="F1778" s="98"/>
    </row>
    <row r="1779" spans="6:6" x14ac:dyDescent="0.3">
      <c r="F1779" s="98"/>
    </row>
    <row r="1780" spans="6:6" x14ac:dyDescent="0.3">
      <c r="F1780" s="98"/>
    </row>
    <row r="1781" spans="6:6" x14ac:dyDescent="0.3">
      <c r="F1781" s="98"/>
    </row>
    <row r="1782" spans="6:6" x14ac:dyDescent="0.3">
      <c r="F1782" s="98"/>
    </row>
    <row r="1783" spans="6:6" x14ac:dyDescent="0.3">
      <c r="F1783" s="98"/>
    </row>
    <row r="1784" spans="6:6" x14ac:dyDescent="0.3">
      <c r="F1784" s="98"/>
    </row>
    <row r="1785" spans="6:6" x14ac:dyDescent="0.3">
      <c r="F1785" s="98"/>
    </row>
    <row r="1786" spans="6:6" x14ac:dyDescent="0.3">
      <c r="F1786" s="98"/>
    </row>
    <row r="1787" spans="6:6" x14ac:dyDescent="0.3">
      <c r="F1787" s="98"/>
    </row>
    <row r="1788" spans="6:6" x14ac:dyDescent="0.3">
      <c r="F1788" s="98"/>
    </row>
    <row r="1789" spans="6:6" x14ac:dyDescent="0.3">
      <c r="F1789" s="98"/>
    </row>
    <row r="1790" spans="6:6" x14ac:dyDescent="0.3">
      <c r="F1790" s="98"/>
    </row>
    <row r="1791" spans="6:6" x14ac:dyDescent="0.3">
      <c r="F1791" s="98"/>
    </row>
    <row r="1792" spans="6:6" x14ac:dyDescent="0.3">
      <c r="F1792" s="98"/>
    </row>
    <row r="1793" spans="6:6" x14ac:dyDescent="0.3">
      <c r="F1793" s="98"/>
    </row>
    <row r="1794" spans="6:6" x14ac:dyDescent="0.3">
      <c r="F1794" s="98"/>
    </row>
    <row r="1795" spans="6:6" x14ac:dyDescent="0.3">
      <c r="F1795" s="98"/>
    </row>
    <row r="1796" spans="6:6" x14ac:dyDescent="0.3">
      <c r="F1796" s="98"/>
    </row>
    <row r="1797" spans="6:6" x14ac:dyDescent="0.3">
      <c r="F1797" s="98"/>
    </row>
    <row r="1798" spans="6:6" x14ac:dyDescent="0.3">
      <c r="F1798" s="98"/>
    </row>
    <row r="1799" spans="6:6" x14ac:dyDescent="0.3">
      <c r="F1799" s="98"/>
    </row>
    <row r="1800" spans="6:6" x14ac:dyDescent="0.3">
      <c r="F1800" s="98"/>
    </row>
    <row r="1801" spans="6:6" x14ac:dyDescent="0.3">
      <c r="F1801" s="98"/>
    </row>
    <row r="1802" spans="6:6" x14ac:dyDescent="0.3">
      <c r="F1802" s="98"/>
    </row>
    <row r="1803" spans="6:6" x14ac:dyDescent="0.3">
      <c r="F1803" s="98"/>
    </row>
    <row r="1804" spans="6:6" x14ac:dyDescent="0.3">
      <c r="F1804" s="98"/>
    </row>
    <row r="1805" spans="6:6" x14ac:dyDescent="0.3">
      <c r="F1805" s="98"/>
    </row>
    <row r="1806" spans="6:6" x14ac:dyDescent="0.3">
      <c r="F1806" s="98"/>
    </row>
    <row r="1807" spans="6:6" x14ac:dyDescent="0.3">
      <c r="F1807" s="98"/>
    </row>
    <row r="1808" spans="6:6" x14ac:dyDescent="0.3">
      <c r="F1808" s="98"/>
    </row>
    <row r="1809" spans="6:6" x14ac:dyDescent="0.3">
      <c r="F1809" s="98"/>
    </row>
    <row r="1810" spans="6:6" x14ac:dyDescent="0.3">
      <c r="F1810" s="98"/>
    </row>
    <row r="1811" spans="6:6" x14ac:dyDescent="0.3">
      <c r="F1811" s="98"/>
    </row>
    <row r="1812" spans="6:6" x14ac:dyDescent="0.3">
      <c r="F1812" s="98"/>
    </row>
    <row r="1813" spans="6:6" x14ac:dyDescent="0.3">
      <c r="F1813" s="98"/>
    </row>
    <row r="1814" spans="6:6" x14ac:dyDescent="0.3">
      <c r="F1814" s="98"/>
    </row>
    <row r="1815" spans="6:6" x14ac:dyDescent="0.3">
      <c r="F1815" s="98"/>
    </row>
    <row r="1816" spans="6:6" x14ac:dyDescent="0.3">
      <c r="F1816" s="98"/>
    </row>
    <row r="1817" spans="6:6" x14ac:dyDescent="0.3">
      <c r="F1817" s="98"/>
    </row>
    <row r="1818" spans="6:6" x14ac:dyDescent="0.3">
      <c r="F1818" s="98"/>
    </row>
    <row r="1819" spans="6:6" x14ac:dyDescent="0.3">
      <c r="F1819" s="98"/>
    </row>
    <row r="1820" spans="6:6" x14ac:dyDescent="0.3">
      <c r="F1820" s="98"/>
    </row>
    <row r="1821" spans="6:6" x14ac:dyDescent="0.3">
      <c r="F1821" s="98"/>
    </row>
    <row r="1822" spans="6:6" x14ac:dyDescent="0.3">
      <c r="F1822" s="98"/>
    </row>
    <row r="1823" spans="6:6" x14ac:dyDescent="0.3">
      <c r="F1823" s="98"/>
    </row>
    <row r="1824" spans="6:6" x14ac:dyDescent="0.3">
      <c r="F1824" s="98"/>
    </row>
    <row r="1825" spans="6:6" x14ac:dyDescent="0.3">
      <c r="F1825" s="98"/>
    </row>
    <row r="1826" spans="6:6" x14ac:dyDescent="0.3">
      <c r="F1826" s="98"/>
    </row>
    <row r="1827" spans="6:6" x14ac:dyDescent="0.3">
      <c r="F1827" s="98"/>
    </row>
    <row r="1828" spans="6:6" x14ac:dyDescent="0.3">
      <c r="F1828" s="98"/>
    </row>
    <row r="1829" spans="6:6" x14ac:dyDescent="0.3">
      <c r="F1829" s="98"/>
    </row>
    <row r="1830" spans="6:6" x14ac:dyDescent="0.3">
      <c r="F1830" s="98"/>
    </row>
    <row r="1831" spans="6:6" x14ac:dyDescent="0.3">
      <c r="F1831" s="98"/>
    </row>
    <row r="1832" spans="6:6" x14ac:dyDescent="0.3">
      <c r="F1832" s="98"/>
    </row>
    <row r="1833" spans="6:6" x14ac:dyDescent="0.3">
      <c r="F1833" s="98"/>
    </row>
    <row r="1834" spans="6:6" x14ac:dyDescent="0.3">
      <c r="F1834" s="98"/>
    </row>
    <row r="1835" spans="6:6" x14ac:dyDescent="0.3">
      <c r="F1835" s="98"/>
    </row>
    <row r="1836" spans="6:6" x14ac:dyDescent="0.3">
      <c r="F1836" s="98"/>
    </row>
    <row r="1837" spans="6:6" x14ac:dyDescent="0.3">
      <c r="F1837" s="98"/>
    </row>
    <row r="1838" spans="6:6" x14ac:dyDescent="0.3">
      <c r="F1838" s="98"/>
    </row>
  </sheetData>
  <mergeCells count="1">
    <mergeCell ref="B2:F2"/>
  </mergeCells>
  <hyperlinks>
    <hyperlink ref="G2" location="'Excel Output'!C51" display="Return button" xr:uid="{D9508D92-1226-44D8-AE3F-6A3E5AF1E11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C5DA-CCAC-421D-B007-A6648FE60FDB}">
  <sheetPr codeName="Sheet11">
    <tabColor theme="9" tint="0.59999389629810485"/>
  </sheetPr>
  <dimension ref="A1:T1869"/>
  <sheetViews>
    <sheetView showGridLines="0" zoomScale="60" zoomScaleNormal="60" workbookViewId="0">
      <selection activeCell="B16" sqref="B16:F16"/>
    </sheetView>
  </sheetViews>
  <sheetFormatPr defaultColWidth="16.44140625" defaultRowHeight="15.6" x14ac:dyDescent="0.3"/>
  <cols>
    <col min="1" max="1" width="8.44140625" style="302" customWidth="1"/>
    <col min="2" max="2" width="47" style="95" customWidth="1"/>
    <col min="3" max="4" width="18.77734375" style="95" customWidth="1"/>
    <col min="5" max="5" width="23.77734375" style="95" customWidth="1"/>
    <col min="6" max="6" width="25.21875" style="99" customWidth="1"/>
    <col min="7" max="7" width="18.44140625" style="210" customWidth="1"/>
    <col min="8" max="8" width="139.21875" style="100" customWidth="1"/>
    <col min="9" max="9" width="15.44140625" style="95" customWidth="1"/>
    <col min="10" max="10" width="13.44140625" style="95" customWidth="1"/>
    <col min="11" max="11" width="42.21875" style="95" customWidth="1"/>
    <col min="12" max="14" width="18.77734375" style="95" customWidth="1"/>
    <col min="15" max="17" width="18.77734375" style="99" customWidth="1"/>
    <col min="18" max="18" width="22.21875" style="96" customWidth="1"/>
    <col min="19" max="19" width="20.77734375" style="100" customWidth="1"/>
    <col min="20" max="20" width="43" style="195" customWidth="1"/>
    <col min="21" max="21" width="70.44140625" style="95" customWidth="1"/>
    <col min="22" max="22" width="6.77734375" style="95" customWidth="1"/>
    <col min="23" max="23" width="70.44140625" style="95" customWidth="1"/>
    <col min="24" max="16384" width="16.44140625" style="95"/>
  </cols>
  <sheetData>
    <row r="1" spans="1:20" ht="20.25" customHeight="1" x14ac:dyDescent="0.3">
      <c r="F1" s="98"/>
      <c r="G1" s="95"/>
      <c r="H1" s="95"/>
      <c r="L1" s="94"/>
      <c r="O1" s="95"/>
      <c r="P1" s="95"/>
      <c r="Q1" s="95"/>
      <c r="R1" s="95"/>
      <c r="S1" s="95"/>
      <c r="T1" s="95"/>
    </row>
    <row r="2" spans="1:20" s="2" customFormat="1" x14ac:dyDescent="0.3">
      <c r="B2" s="255" t="s">
        <v>344</v>
      </c>
      <c r="C2" s="239" t="s">
        <v>288</v>
      </c>
      <c r="F2" s="13"/>
      <c r="G2"/>
      <c r="I2" s="56"/>
      <c r="O2" s="16"/>
      <c r="P2" s="16"/>
      <c r="Q2" s="16"/>
      <c r="R2" s="13"/>
      <c r="S2" s="17"/>
      <c r="T2" s="56"/>
    </row>
    <row r="3" spans="1:20" s="2" customFormat="1" ht="15" thickBot="1" x14ac:dyDescent="0.35">
      <c r="B3" s="807"/>
      <c r="C3" s="807"/>
      <c r="F3" s="13"/>
      <c r="G3"/>
      <c r="I3" s="56"/>
      <c r="O3" s="16"/>
      <c r="P3" s="16"/>
      <c r="Q3" s="16"/>
      <c r="R3" s="13"/>
      <c r="S3" s="17"/>
      <c r="T3" s="56"/>
    </row>
    <row r="4" spans="1:20" ht="16.2" thickBot="1" x14ac:dyDescent="0.35">
      <c r="A4" s="56" t="str">
        <f>IF($C$2="Yes","Show","Hide")</f>
        <v>Show</v>
      </c>
      <c r="B4" s="343" t="str">
        <f>IF('Initial Screens'!C13="VCF 9","Migration Efficiency (related to host refresh and migration to VCF 9)","Migration Efficiency (related to host refresh)")</f>
        <v>Migration Efficiency (related to host refresh and migration to VCF 9)</v>
      </c>
      <c r="C4" s="344"/>
      <c r="D4" s="344"/>
      <c r="E4" s="344"/>
      <c r="F4" s="345"/>
      <c r="G4" s="466" t="s">
        <v>473</v>
      </c>
      <c r="H4" s="45"/>
      <c r="I4" s="96"/>
      <c r="J4" s="96"/>
      <c r="K4" s="96"/>
      <c r="L4" s="96"/>
      <c r="M4" s="96"/>
      <c r="N4" s="96"/>
      <c r="O4" s="96"/>
      <c r="P4" s="96"/>
      <c r="Q4" s="97"/>
      <c r="R4" s="195"/>
      <c r="S4" s="95"/>
      <c r="T4" s="95"/>
    </row>
    <row r="5" spans="1:20" ht="16.5" customHeight="1" thickBot="1" x14ac:dyDescent="0.35">
      <c r="A5" s="56" t="str">
        <f t="shared" ref="A5:A14" si="0">IF($C$2="Yes","Show","Hide")</f>
        <v>Show</v>
      </c>
      <c r="B5" s="302"/>
      <c r="C5" s="302"/>
      <c r="D5" s="302"/>
      <c r="E5" s="302"/>
      <c r="F5" s="302"/>
      <c r="G5" s="302"/>
      <c r="H5" s="302"/>
      <c r="I5" s="96"/>
      <c r="J5" s="96"/>
      <c r="K5" s="96"/>
      <c r="L5" s="96"/>
      <c r="M5" s="96"/>
      <c r="N5" s="96"/>
      <c r="O5" s="96"/>
      <c r="P5" s="96"/>
      <c r="Q5" s="100"/>
      <c r="R5" s="195"/>
      <c r="S5" s="95"/>
      <c r="T5" s="95"/>
    </row>
    <row r="6" spans="1:20" ht="20.25" customHeight="1" thickBot="1" x14ac:dyDescent="0.35">
      <c r="A6" s="56" t="str">
        <f t="shared" si="0"/>
        <v>Show</v>
      </c>
      <c r="B6" s="5" t="s">
        <v>12</v>
      </c>
      <c r="C6" s="6"/>
      <c r="D6" s="6"/>
      <c r="E6" s="6"/>
      <c r="F6" s="337"/>
      <c r="G6" s="332"/>
      <c r="H6" s="11" t="s">
        <v>2</v>
      </c>
      <c r="I6" s="96"/>
      <c r="J6" s="96"/>
      <c r="K6" s="96"/>
      <c r="M6" s="99"/>
      <c r="N6" s="99"/>
      <c r="P6" s="96"/>
      <c r="Q6" s="100"/>
      <c r="R6" s="195"/>
      <c r="S6" s="95"/>
      <c r="T6" s="95"/>
    </row>
    <row r="7" spans="1:20" ht="20.25" customHeight="1" thickBot="1" x14ac:dyDescent="0.35">
      <c r="A7" s="56" t="str">
        <f t="shared" si="0"/>
        <v>Show</v>
      </c>
      <c r="B7" s="7" t="s">
        <v>5</v>
      </c>
      <c r="C7" s="50"/>
      <c r="D7" s="50"/>
      <c r="E7" s="8"/>
      <c r="F7" s="138">
        <f>IF(C2="Yes",'Excel Output'!D22,0)</f>
        <v>5000</v>
      </c>
      <c r="G7" s="73"/>
      <c r="H7" s="501">
        <f>'Initial Screens'!$E$16</f>
        <v>0</v>
      </c>
      <c r="I7" s="96"/>
      <c r="J7" s="96"/>
      <c r="K7" s="96"/>
      <c r="M7" s="99"/>
      <c r="N7" s="99"/>
      <c r="P7" s="96"/>
      <c r="Q7" s="100"/>
      <c r="R7" s="195"/>
      <c r="S7" s="95"/>
      <c r="T7" s="95"/>
    </row>
    <row r="8" spans="1:20" ht="20.25" customHeight="1" thickBot="1" x14ac:dyDescent="0.35">
      <c r="A8" s="56" t="str">
        <f t="shared" si="0"/>
        <v>Show</v>
      </c>
      <c r="B8" s="7" t="s">
        <v>324</v>
      </c>
      <c r="C8" s="50"/>
      <c r="D8" s="50"/>
      <c r="E8" s="8"/>
      <c r="F8" s="338">
        <f>ROUND(100%,3)</f>
        <v>1</v>
      </c>
      <c r="G8" s="73"/>
      <c r="H8" s="365" t="s">
        <v>327</v>
      </c>
      <c r="I8" s="96"/>
      <c r="J8" s="96"/>
      <c r="K8" s="96"/>
      <c r="M8" s="99"/>
      <c r="N8" s="99"/>
      <c r="P8" s="96"/>
      <c r="Q8" s="100"/>
      <c r="R8" s="195"/>
      <c r="S8" s="95"/>
      <c r="T8" s="95"/>
    </row>
    <row r="9" spans="1:20" ht="20.25" customHeight="1" thickBot="1" x14ac:dyDescent="0.35">
      <c r="A9" s="56" t="str">
        <f t="shared" si="0"/>
        <v>Show</v>
      </c>
      <c r="B9" s="7" t="s">
        <v>325</v>
      </c>
      <c r="C9" s="50"/>
      <c r="D9" s="50"/>
      <c r="E9" s="8"/>
      <c r="F9" s="339">
        <f>ROUND(1,1)</f>
        <v>1</v>
      </c>
      <c r="G9" s="73"/>
      <c r="H9" s="386" t="s">
        <v>328</v>
      </c>
      <c r="I9" s="96"/>
      <c r="J9" s="96"/>
      <c r="K9" s="96"/>
      <c r="M9" s="99"/>
      <c r="N9" s="99"/>
      <c r="P9" s="96"/>
      <c r="Q9" s="100"/>
      <c r="R9" s="195"/>
      <c r="S9" s="95"/>
      <c r="T9" s="95"/>
    </row>
    <row r="10" spans="1:20" ht="20.25" customHeight="1" thickBot="1" x14ac:dyDescent="0.35">
      <c r="A10" s="56" t="str">
        <f t="shared" si="0"/>
        <v>Show</v>
      </c>
      <c r="B10" s="7" t="s">
        <v>14</v>
      </c>
      <c r="C10" s="50"/>
      <c r="D10" s="50"/>
      <c r="E10" s="8"/>
      <c r="F10" s="340">
        <f ca="1">ROUND(Benchmarks!$D$10,2)</f>
        <v>97.5</v>
      </c>
      <c r="G10" s="341"/>
      <c r="H10"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M10" s="99"/>
      <c r="N10" s="99"/>
      <c r="P10" s="96"/>
      <c r="Q10" s="100"/>
      <c r="R10" s="195"/>
      <c r="S10" s="95"/>
      <c r="T10" s="95"/>
    </row>
    <row r="11" spans="1:20" ht="20.25" customHeight="1" thickBot="1" x14ac:dyDescent="0.35">
      <c r="A11" s="56" t="str">
        <f t="shared" si="0"/>
        <v>Show</v>
      </c>
      <c r="B11" s="91" t="str">
        <f>FIXED(AnalysisTerm,0)&amp;"-Year Current State Cost"</f>
        <v>10-Year Current State Cost</v>
      </c>
      <c r="C11" s="103"/>
      <c r="D11" s="103"/>
      <c r="E11" s="104"/>
      <c r="F11" s="102">
        <f ca="1">ROUND(F7*F8*F9*F10*AnalysisTerm,0)</f>
        <v>4875000</v>
      </c>
      <c r="G11" s="342"/>
      <c r="H11" s="503" t="s">
        <v>8</v>
      </c>
      <c r="M11" s="99"/>
      <c r="N11" s="99"/>
      <c r="P11" s="96"/>
      <c r="Q11" s="100"/>
      <c r="R11" s="195"/>
      <c r="S11" s="95"/>
      <c r="T11" s="95"/>
    </row>
    <row r="12" spans="1:20" ht="20.25" customHeight="1" thickBot="1" x14ac:dyDescent="0.35">
      <c r="A12" s="56" t="str">
        <f t="shared" si="0"/>
        <v>Show</v>
      </c>
      <c r="B12" s="74" t="s">
        <v>13</v>
      </c>
      <c r="C12" s="75"/>
      <c r="D12" s="75"/>
      <c r="E12" s="67"/>
      <c r="F12" s="12"/>
      <c r="G12" s="342"/>
      <c r="H12" s="149"/>
      <c r="I12" s="96"/>
      <c r="J12" s="96"/>
      <c r="K12" s="96"/>
      <c r="M12" s="99"/>
      <c r="N12" s="99"/>
      <c r="P12" s="96"/>
      <c r="Q12" s="100"/>
      <c r="R12" s="195"/>
      <c r="S12" s="95"/>
      <c r="T12" s="95"/>
    </row>
    <row r="13" spans="1:20" ht="20.25" customHeight="1" thickBot="1" x14ac:dyDescent="0.35">
      <c r="A13" s="56" t="str">
        <f t="shared" si="0"/>
        <v>Show</v>
      </c>
      <c r="B13" s="7" t="s">
        <v>326</v>
      </c>
      <c r="C13" s="50"/>
      <c r="D13" s="50"/>
      <c r="E13" s="8"/>
      <c r="F13" s="87">
        <f>ROUND(75%,3)</f>
        <v>0.75</v>
      </c>
      <c r="G13" s="342"/>
      <c r="H13" s="386" t="s">
        <v>329</v>
      </c>
      <c r="I13" s="96"/>
      <c r="J13" s="96"/>
      <c r="K13" s="96"/>
      <c r="M13" s="99"/>
      <c r="N13" s="99"/>
      <c r="P13" s="96"/>
      <c r="Q13" s="100"/>
      <c r="R13" s="195"/>
      <c r="S13" s="95"/>
      <c r="T13" s="95"/>
    </row>
    <row r="14" spans="1:20" ht="20.25" customHeight="1" thickBot="1" x14ac:dyDescent="0.35">
      <c r="A14" s="56" t="str">
        <f t="shared" si="0"/>
        <v>Show</v>
      </c>
      <c r="B14" s="91" t="str">
        <f>FIXED(AnalysisTerm,0)&amp;"-Year Future State Cost"</f>
        <v>10-Year Future State Cost</v>
      </c>
      <c r="C14" s="103"/>
      <c r="D14" s="103"/>
      <c r="E14" s="104"/>
      <c r="F14" s="102">
        <f t="shared" ref="F14" ca="1" si="1">ROUND(F11*(1-F13),0)</f>
        <v>1218750</v>
      </c>
      <c r="G14" s="342"/>
      <c r="H14" s="503" t="s">
        <v>8</v>
      </c>
      <c r="I14" s="96"/>
      <c r="J14" s="96"/>
      <c r="K14" s="96"/>
      <c r="M14" s="99"/>
      <c r="N14" s="99"/>
      <c r="P14" s="96"/>
      <c r="Q14" s="100"/>
      <c r="R14" s="195"/>
      <c r="S14" s="95"/>
      <c r="T14" s="95"/>
    </row>
    <row r="15" spans="1:20" ht="20.25" customHeight="1" thickBot="1" x14ac:dyDescent="0.35">
      <c r="F15" s="96"/>
      <c r="G15" s="98"/>
      <c r="H15" s="95"/>
      <c r="I15" s="195"/>
      <c r="J15" s="96"/>
      <c r="K15" s="96"/>
      <c r="L15" s="96"/>
      <c r="M15" s="96"/>
    </row>
    <row r="16" spans="1:20" ht="16.2" thickBot="1" x14ac:dyDescent="0.35">
      <c r="B16" s="883" t="s">
        <v>616</v>
      </c>
      <c r="C16" s="884"/>
      <c r="D16" s="884"/>
      <c r="E16" s="884"/>
      <c r="F16" s="885"/>
      <c r="G16" s="466" t="s">
        <v>473</v>
      </c>
      <c r="H16" s="19"/>
      <c r="M16" s="99"/>
      <c r="N16" s="99"/>
      <c r="P16" s="96"/>
      <c r="Q16" s="100"/>
      <c r="R16" s="195"/>
      <c r="S16" s="95"/>
      <c r="T16" s="95"/>
    </row>
    <row r="17" spans="2:20" ht="16.5" customHeight="1" thickBot="1" x14ac:dyDescent="0.35">
      <c r="B17" s="206"/>
      <c r="C17" s="206"/>
      <c r="D17" s="206"/>
      <c r="E17" s="206"/>
      <c r="F17" s="206"/>
      <c r="G17" s="292"/>
      <c r="H17" s="287"/>
      <c r="M17" s="99"/>
      <c r="N17" s="99"/>
      <c r="P17" s="96"/>
      <c r="Q17" s="100"/>
      <c r="R17" s="195"/>
      <c r="S17" s="95"/>
      <c r="T17" s="95"/>
    </row>
    <row r="18" spans="2:20" ht="16.2" thickBot="1" x14ac:dyDescent="0.35">
      <c r="B18" s="5" t="s">
        <v>12</v>
      </c>
      <c r="C18" s="6"/>
      <c r="D18" s="6"/>
      <c r="E18" s="6"/>
      <c r="F18" s="337"/>
      <c r="G18" s="10"/>
      <c r="H18" s="11"/>
      <c r="M18" s="99"/>
      <c r="N18" s="99"/>
      <c r="P18" s="96"/>
      <c r="Q18" s="100"/>
      <c r="R18" s="195"/>
      <c r="S18" s="95"/>
      <c r="T18" s="95"/>
    </row>
    <row r="19" spans="2:20" ht="16.2" thickBot="1" x14ac:dyDescent="0.35">
      <c r="B19" s="7" t="s">
        <v>330</v>
      </c>
      <c r="C19" s="50"/>
      <c r="D19" s="50"/>
      <c r="E19" s="8"/>
      <c r="F19" s="346">
        <f>Labor!F10+Labor!F28+Labor!F19+Labor!F37</f>
        <v>20</v>
      </c>
      <c r="G19" s="10"/>
      <c r="H19" s="504" t="s">
        <v>335</v>
      </c>
      <c r="M19" s="99"/>
      <c r="N19" s="99"/>
      <c r="P19" s="96"/>
      <c r="Q19" s="100"/>
      <c r="R19" s="195"/>
      <c r="S19" s="95"/>
      <c r="T19" s="95"/>
    </row>
    <row r="20" spans="2:20" ht="16.2" thickBot="1" x14ac:dyDescent="0.35">
      <c r="B20" s="7" t="s">
        <v>333</v>
      </c>
      <c r="C20" s="50"/>
      <c r="D20" s="50"/>
      <c r="E20" s="8"/>
      <c r="F20" s="347">
        <f>ROUND(20,1)</f>
        <v>20</v>
      </c>
      <c r="G20" s="95"/>
      <c r="H20" s="378" t="s">
        <v>6</v>
      </c>
      <c r="M20" s="99"/>
      <c r="N20" s="99"/>
      <c r="P20" s="96"/>
      <c r="Q20" s="100"/>
      <c r="R20" s="195"/>
      <c r="S20" s="95"/>
      <c r="T20" s="95"/>
    </row>
    <row r="21" spans="2:20" ht="20.25" customHeight="1" thickBot="1" x14ac:dyDescent="0.35">
      <c r="B21" s="7" t="s">
        <v>334</v>
      </c>
      <c r="C21" s="50"/>
      <c r="D21" s="50"/>
      <c r="E21" s="67"/>
      <c r="F21" s="89">
        <f>F19*F20</f>
        <v>400</v>
      </c>
      <c r="G21" s="98"/>
      <c r="H21" s="503" t="s">
        <v>8</v>
      </c>
      <c r="I21" s="195"/>
    </row>
    <row r="22" spans="2:20" ht="20.25" customHeight="1" thickBot="1" x14ac:dyDescent="0.35">
      <c r="B22" s="7" t="s">
        <v>14</v>
      </c>
      <c r="C22" s="50"/>
      <c r="D22" s="50"/>
      <c r="E22" s="8"/>
      <c r="F22" s="340">
        <f ca="1">ROUND(Benchmarks!$D$10,2)</f>
        <v>97.5</v>
      </c>
      <c r="G22" s="341"/>
      <c r="H22"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M22" s="99"/>
      <c r="N22" s="99"/>
      <c r="P22" s="96"/>
      <c r="Q22" s="100"/>
      <c r="R22" s="195"/>
      <c r="S22" s="95"/>
      <c r="T22" s="95"/>
    </row>
    <row r="23" spans="2:20" ht="16.2" thickBot="1" x14ac:dyDescent="0.35">
      <c r="B23" s="91" t="s">
        <v>339</v>
      </c>
      <c r="C23" s="103"/>
      <c r="D23" s="103"/>
      <c r="E23" s="104"/>
      <c r="F23" s="147">
        <f ca="1">F21*F22</f>
        <v>39000</v>
      </c>
      <c r="G23" s="291"/>
      <c r="H23" s="503" t="s">
        <v>8</v>
      </c>
      <c r="M23" s="99"/>
      <c r="N23" s="99"/>
      <c r="P23" s="96"/>
      <c r="Q23" s="100"/>
      <c r="R23" s="195"/>
      <c r="S23" s="95"/>
      <c r="T23" s="95"/>
    </row>
    <row r="24" spans="2:20" ht="16.2" thickBot="1" x14ac:dyDescent="0.35">
      <c r="B24" s="74" t="s">
        <v>13</v>
      </c>
      <c r="C24" s="75"/>
      <c r="D24" s="75"/>
      <c r="E24" s="67"/>
      <c r="F24" s="8"/>
      <c r="G24" s="290"/>
      <c r="H24" s="73"/>
      <c r="M24" s="99"/>
      <c r="N24" s="99"/>
      <c r="P24" s="96"/>
      <c r="Q24" s="100"/>
      <c r="R24" s="195"/>
      <c r="S24" s="95"/>
      <c r="T24" s="95"/>
    </row>
    <row r="25" spans="2:20" ht="16.2" thickBot="1" x14ac:dyDescent="0.35">
      <c r="B25" s="7" t="s">
        <v>330</v>
      </c>
      <c r="C25" s="50"/>
      <c r="D25" s="50"/>
      <c r="E25" s="8"/>
      <c r="F25" s="346">
        <f>Labor!F10+Labor!F28+Labor!F19+Labor!F37</f>
        <v>20</v>
      </c>
      <c r="G25" s="290"/>
      <c r="H25" s="504" t="s">
        <v>335</v>
      </c>
      <c r="M25" s="99"/>
      <c r="N25" s="99"/>
      <c r="P25" s="96"/>
      <c r="Q25" s="100"/>
      <c r="R25" s="195"/>
      <c r="S25" s="95"/>
      <c r="T25" s="95"/>
    </row>
    <row r="26" spans="2:20" ht="16.2" thickBot="1" x14ac:dyDescent="0.35">
      <c r="B26" s="7" t="s">
        <v>337</v>
      </c>
      <c r="C26" s="50"/>
      <c r="D26" s="50"/>
      <c r="E26" s="8"/>
      <c r="F26" s="347">
        <f>ROUND(20*(('Excel Output'!E27-'Excel Output'!D27)+('Excel Output'!E28-'Excel Output'!D28)+('Excel Output'!E29-'Excel Output'!D29)+('Excel Output'!E30-'Excel Output'!D30)),1)</f>
        <v>80</v>
      </c>
      <c r="G26" s="290"/>
      <c r="H26" s="363" t="s">
        <v>338</v>
      </c>
      <c r="M26" s="99"/>
      <c r="N26" s="99"/>
      <c r="P26" s="96"/>
      <c r="Q26" s="100"/>
      <c r="R26" s="195"/>
      <c r="S26" s="95"/>
      <c r="T26" s="95"/>
    </row>
    <row r="27" spans="2:20" ht="16.2" thickBot="1" x14ac:dyDescent="0.35">
      <c r="B27" s="7" t="s">
        <v>336</v>
      </c>
      <c r="C27" s="50"/>
      <c r="D27" s="50"/>
      <c r="E27" s="67"/>
      <c r="F27" s="89">
        <f>F25*F26</f>
        <v>1600</v>
      </c>
      <c r="G27" s="290"/>
      <c r="H27" s="503" t="s">
        <v>8</v>
      </c>
      <c r="M27" s="99"/>
      <c r="N27" s="99"/>
      <c r="P27" s="96"/>
      <c r="Q27" s="100"/>
      <c r="R27" s="195"/>
      <c r="S27" s="95"/>
      <c r="T27" s="95"/>
    </row>
    <row r="28" spans="2:20" ht="20.25" customHeight="1" thickBot="1" x14ac:dyDescent="0.35">
      <c r="B28" s="7" t="s">
        <v>14</v>
      </c>
      <c r="C28" s="50"/>
      <c r="D28" s="50"/>
      <c r="E28" s="67"/>
      <c r="F28" s="340">
        <f ca="1">ROUND(Benchmarks!$D$10,2)</f>
        <v>97.5</v>
      </c>
      <c r="G28" s="98"/>
      <c r="H28"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I28" s="195"/>
    </row>
    <row r="29" spans="2:20" ht="16.2" thickBot="1" x14ac:dyDescent="0.35">
      <c r="B29" s="91" t="s">
        <v>340</v>
      </c>
      <c r="C29" s="103"/>
      <c r="D29" s="103"/>
      <c r="E29" s="104"/>
      <c r="F29" s="147">
        <f ca="1">F27*F28</f>
        <v>156000</v>
      </c>
      <c r="G29" s="180"/>
      <c r="H29" s="503" t="s">
        <v>8</v>
      </c>
      <c r="M29" s="99"/>
      <c r="N29" s="99"/>
      <c r="P29" s="96"/>
      <c r="Q29" s="100"/>
      <c r="R29" s="195"/>
      <c r="S29" s="95"/>
      <c r="T29" s="95"/>
    </row>
    <row r="30" spans="2:20" x14ac:dyDescent="0.3">
      <c r="B30" s="2"/>
      <c r="C30" s="2"/>
      <c r="D30" s="2"/>
      <c r="E30" s="2"/>
      <c r="F30" s="13"/>
      <c r="G30" s="13"/>
      <c r="H30" s="9"/>
      <c r="I30" s="286"/>
      <c r="J30" s="2"/>
    </row>
    <row r="88" spans="2:20" ht="20.25" customHeight="1" x14ac:dyDescent="0.3">
      <c r="B88" s="255"/>
      <c r="C88" s="256"/>
      <c r="D88" s="148"/>
      <c r="E88" s="148"/>
      <c r="F88" s="96"/>
      <c r="G88" s="98"/>
      <c r="H88" s="95"/>
      <c r="I88" s="195"/>
    </row>
    <row r="89" spans="2:20" ht="10.050000000000001" customHeight="1" x14ac:dyDescent="0.3">
      <c r="G89" s="98"/>
      <c r="H89" s="211"/>
      <c r="O89" s="95"/>
      <c r="P89" s="95"/>
      <c r="Q89" s="95"/>
      <c r="R89" s="95"/>
      <c r="S89" s="95"/>
      <c r="T89" s="95"/>
    </row>
    <row r="90" spans="2:20" collapsed="1" x14ac:dyDescent="0.3">
      <c r="G90" s="98"/>
    </row>
    <row r="91" spans="2:20" x14ac:dyDescent="0.3">
      <c r="G91" s="98"/>
    </row>
    <row r="92" spans="2:20" x14ac:dyDescent="0.3">
      <c r="G92" s="98"/>
    </row>
    <row r="93" spans="2:20" x14ac:dyDescent="0.3">
      <c r="G93" s="98"/>
    </row>
    <row r="94" spans="2:20" x14ac:dyDescent="0.3">
      <c r="G94" s="98"/>
    </row>
    <row r="95" spans="2:20" x14ac:dyDescent="0.3">
      <c r="G95" s="98"/>
    </row>
    <row r="96" spans="2:20" x14ac:dyDescent="0.3">
      <c r="G96" s="98"/>
    </row>
    <row r="97" spans="7:7" x14ac:dyDescent="0.3">
      <c r="G97" s="98"/>
    </row>
    <row r="98" spans="7:7" x14ac:dyDescent="0.3">
      <c r="G98" s="98"/>
    </row>
    <row r="99" spans="7:7" x14ac:dyDescent="0.3">
      <c r="G99" s="98"/>
    </row>
    <row r="100" spans="7:7" x14ac:dyDescent="0.3">
      <c r="G100" s="98"/>
    </row>
    <row r="101" spans="7:7" x14ac:dyDescent="0.3">
      <c r="G101" s="98"/>
    </row>
    <row r="102" spans="7:7" x14ac:dyDescent="0.3">
      <c r="G102" s="98"/>
    </row>
    <row r="103" spans="7:7" x14ac:dyDescent="0.3">
      <c r="G103" s="98"/>
    </row>
    <row r="104" spans="7:7" x14ac:dyDescent="0.3">
      <c r="G104" s="98"/>
    </row>
    <row r="105" spans="7:7" x14ac:dyDescent="0.3">
      <c r="G105" s="98"/>
    </row>
    <row r="106" spans="7:7" x14ac:dyDescent="0.3">
      <c r="G106" s="98"/>
    </row>
    <row r="107" spans="7:7" x14ac:dyDescent="0.3">
      <c r="G107" s="98"/>
    </row>
    <row r="108" spans="7:7" x14ac:dyDescent="0.3">
      <c r="G108" s="98"/>
    </row>
    <row r="109" spans="7:7" x14ac:dyDescent="0.3">
      <c r="G109" s="98"/>
    </row>
    <row r="110" spans="7:7" x14ac:dyDescent="0.3">
      <c r="G110" s="98"/>
    </row>
    <row r="111" spans="7:7" x14ac:dyDescent="0.3">
      <c r="G111" s="98"/>
    </row>
    <row r="112" spans="7:7" x14ac:dyDescent="0.3">
      <c r="G112" s="98"/>
    </row>
    <row r="113" spans="7:7" x14ac:dyDescent="0.3">
      <c r="G113" s="98"/>
    </row>
    <row r="114" spans="7:7" x14ac:dyDescent="0.3">
      <c r="G114" s="98"/>
    </row>
    <row r="115" spans="7:7" x14ac:dyDescent="0.3">
      <c r="G115" s="98"/>
    </row>
    <row r="116" spans="7:7" x14ac:dyDescent="0.3">
      <c r="G116" s="98"/>
    </row>
    <row r="117" spans="7:7" x14ac:dyDescent="0.3">
      <c r="G117" s="98"/>
    </row>
    <row r="118" spans="7:7" x14ac:dyDescent="0.3">
      <c r="G118" s="98"/>
    </row>
    <row r="119" spans="7:7" x14ac:dyDescent="0.3">
      <c r="G119" s="98"/>
    </row>
    <row r="120" spans="7:7" x14ac:dyDescent="0.3">
      <c r="G120" s="98"/>
    </row>
    <row r="121" spans="7:7" x14ac:dyDescent="0.3">
      <c r="G121" s="98"/>
    </row>
    <row r="122" spans="7:7" x14ac:dyDescent="0.3">
      <c r="G122" s="98"/>
    </row>
    <row r="123" spans="7:7" x14ac:dyDescent="0.3">
      <c r="G123" s="98"/>
    </row>
    <row r="124" spans="7:7" x14ac:dyDescent="0.3">
      <c r="G124" s="98"/>
    </row>
    <row r="125" spans="7:7" x14ac:dyDescent="0.3">
      <c r="G125" s="98"/>
    </row>
    <row r="126" spans="7:7" x14ac:dyDescent="0.3">
      <c r="G126" s="98"/>
    </row>
    <row r="127" spans="7:7" x14ac:dyDescent="0.3">
      <c r="G127" s="98"/>
    </row>
    <row r="128" spans="7:7" x14ac:dyDescent="0.3">
      <c r="G128" s="98"/>
    </row>
    <row r="129" spans="7:7" x14ac:dyDescent="0.3">
      <c r="G129" s="98"/>
    </row>
    <row r="130" spans="7:7" x14ac:dyDescent="0.3">
      <c r="G130" s="98"/>
    </row>
    <row r="131" spans="7:7" x14ac:dyDescent="0.3">
      <c r="G131" s="98"/>
    </row>
    <row r="132" spans="7:7" x14ac:dyDescent="0.3">
      <c r="G132" s="98"/>
    </row>
    <row r="133" spans="7:7" x14ac:dyDescent="0.3">
      <c r="G133" s="98"/>
    </row>
    <row r="134" spans="7:7" x14ac:dyDescent="0.3">
      <c r="G134" s="98"/>
    </row>
    <row r="135" spans="7:7" x14ac:dyDescent="0.3">
      <c r="G135" s="98"/>
    </row>
    <row r="136" spans="7:7" x14ac:dyDescent="0.3">
      <c r="G136" s="98"/>
    </row>
    <row r="137" spans="7:7" x14ac:dyDescent="0.3">
      <c r="G137" s="98"/>
    </row>
    <row r="138" spans="7:7" x14ac:dyDescent="0.3">
      <c r="G138" s="98"/>
    </row>
    <row r="139" spans="7:7" x14ac:dyDescent="0.3">
      <c r="G139" s="98"/>
    </row>
    <row r="140" spans="7:7" x14ac:dyDescent="0.3">
      <c r="G140" s="98"/>
    </row>
    <row r="141" spans="7:7" x14ac:dyDescent="0.3">
      <c r="G141" s="98"/>
    </row>
    <row r="142" spans="7:7" x14ac:dyDescent="0.3">
      <c r="G142" s="98"/>
    </row>
    <row r="143" spans="7:7" x14ac:dyDescent="0.3">
      <c r="G143" s="98"/>
    </row>
    <row r="144" spans="7:7" x14ac:dyDescent="0.3">
      <c r="G144" s="98"/>
    </row>
    <row r="145" spans="7:7" x14ac:dyDescent="0.3">
      <c r="G145" s="98"/>
    </row>
    <row r="146" spans="7:7" x14ac:dyDescent="0.3">
      <c r="G146" s="98"/>
    </row>
    <row r="147" spans="7:7" x14ac:dyDescent="0.3">
      <c r="G147" s="98"/>
    </row>
    <row r="148" spans="7:7" x14ac:dyDescent="0.3">
      <c r="G148" s="98"/>
    </row>
    <row r="149" spans="7:7" x14ac:dyDescent="0.3">
      <c r="G149" s="98"/>
    </row>
    <row r="150" spans="7:7" x14ac:dyDescent="0.3">
      <c r="G150" s="98"/>
    </row>
    <row r="151" spans="7:7" x14ac:dyDescent="0.3">
      <c r="G151" s="98"/>
    </row>
    <row r="152" spans="7:7" x14ac:dyDescent="0.3">
      <c r="G152" s="98"/>
    </row>
    <row r="153" spans="7:7" x14ac:dyDescent="0.3">
      <c r="G153" s="98"/>
    </row>
    <row r="154" spans="7:7" x14ac:dyDescent="0.3">
      <c r="G154" s="98"/>
    </row>
    <row r="155" spans="7:7" x14ac:dyDescent="0.3">
      <c r="G155" s="98"/>
    </row>
    <row r="156" spans="7:7" x14ac:dyDescent="0.3">
      <c r="G156" s="98"/>
    </row>
    <row r="157" spans="7:7" x14ac:dyDescent="0.3">
      <c r="G157" s="98"/>
    </row>
    <row r="158" spans="7:7" x14ac:dyDescent="0.3">
      <c r="G158" s="98"/>
    </row>
    <row r="159" spans="7:7" x14ac:dyDescent="0.3">
      <c r="G159" s="98"/>
    </row>
    <row r="160" spans="7:7" x14ac:dyDescent="0.3">
      <c r="G160" s="98"/>
    </row>
    <row r="161" spans="7:7" x14ac:dyDescent="0.3">
      <c r="G161" s="98"/>
    </row>
    <row r="162" spans="7:7" x14ac:dyDescent="0.3">
      <c r="G162" s="98"/>
    </row>
    <row r="163" spans="7:7" x14ac:dyDescent="0.3">
      <c r="G163" s="98"/>
    </row>
    <row r="164" spans="7:7" x14ac:dyDescent="0.3">
      <c r="G164" s="98"/>
    </row>
    <row r="165" spans="7:7" x14ac:dyDescent="0.3">
      <c r="G165" s="98"/>
    </row>
    <row r="166" spans="7:7" x14ac:dyDescent="0.3">
      <c r="G166" s="98"/>
    </row>
    <row r="167" spans="7:7" x14ac:dyDescent="0.3">
      <c r="G167" s="98"/>
    </row>
    <row r="168" spans="7:7" x14ac:dyDescent="0.3">
      <c r="G168" s="98"/>
    </row>
    <row r="169" spans="7:7" x14ac:dyDescent="0.3">
      <c r="G169" s="98"/>
    </row>
    <row r="170" spans="7:7" x14ac:dyDescent="0.3">
      <c r="G170" s="98"/>
    </row>
    <row r="171" spans="7:7" x14ac:dyDescent="0.3">
      <c r="G171" s="98"/>
    </row>
    <row r="172" spans="7:7" x14ac:dyDescent="0.3">
      <c r="G172" s="98"/>
    </row>
    <row r="173" spans="7:7" x14ac:dyDescent="0.3">
      <c r="G173" s="98"/>
    </row>
    <row r="174" spans="7:7" x14ac:dyDescent="0.3">
      <c r="G174" s="98"/>
    </row>
    <row r="175" spans="7:7" x14ac:dyDescent="0.3">
      <c r="G175" s="98"/>
    </row>
    <row r="176" spans="7:7" x14ac:dyDescent="0.3">
      <c r="G176" s="98"/>
    </row>
    <row r="177" spans="7:7" x14ac:dyDescent="0.3">
      <c r="G177" s="98"/>
    </row>
    <row r="178" spans="7:7" x14ac:dyDescent="0.3">
      <c r="G178" s="98"/>
    </row>
    <row r="179" spans="7:7" x14ac:dyDescent="0.3">
      <c r="G179" s="98"/>
    </row>
    <row r="180" spans="7:7" x14ac:dyDescent="0.3">
      <c r="G180" s="98"/>
    </row>
    <row r="181" spans="7:7" x14ac:dyDescent="0.3">
      <c r="G181" s="98"/>
    </row>
    <row r="182" spans="7:7" x14ac:dyDescent="0.3">
      <c r="G182" s="98"/>
    </row>
    <row r="183" spans="7:7" x14ac:dyDescent="0.3">
      <c r="G183" s="98"/>
    </row>
    <row r="184" spans="7:7" x14ac:dyDescent="0.3">
      <c r="G184" s="98"/>
    </row>
    <row r="185" spans="7:7" x14ac:dyDescent="0.3">
      <c r="G185" s="98"/>
    </row>
    <row r="186" spans="7:7" x14ac:dyDescent="0.3">
      <c r="G186" s="98"/>
    </row>
    <row r="187" spans="7:7" x14ac:dyDescent="0.3">
      <c r="G187" s="98"/>
    </row>
    <row r="188" spans="7:7" x14ac:dyDescent="0.3">
      <c r="G188" s="98"/>
    </row>
    <row r="189" spans="7:7" x14ac:dyDescent="0.3">
      <c r="G189" s="98"/>
    </row>
    <row r="190" spans="7:7" x14ac:dyDescent="0.3">
      <c r="G190" s="98"/>
    </row>
    <row r="191" spans="7:7" x14ac:dyDescent="0.3">
      <c r="G191" s="98"/>
    </row>
    <row r="192" spans="7:7" x14ac:dyDescent="0.3">
      <c r="G192" s="98"/>
    </row>
    <row r="193" spans="7:7" x14ac:dyDescent="0.3">
      <c r="G193" s="98"/>
    </row>
    <row r="194" spans="7:7" x14ac:dyDescent="0.3">
      <c r="G194" s="98"/>
    </row>
    <row r="195" spans="7:7" x14ac:dyDescent="0.3">
      <c r="G195" s="98"/>
    </row>
    <row r="196" spans="7:7" x14ac:dyDescent="0.3">
      <c r="G196" s="98"/>
    </row>
    <row r="197" spans="7:7" x14ac:dyDescent="0.3">
      <c r="G197" s="98"/>
    </row>
    <row r="198" spans="7:7" x14ac:dyDescent="0.3">
      <c r="G198" s="98"/>
    </row>
    <row r="199" spans="7:7" x14ac:dyDescent="0.3">
      <c r="G199" s="98"/>
    </row>
    <row r="200" spans="7:7" x14ac:dyDescent="0.3">
      <c r="G200" s="98"/>
    </row>
    <row r="201" spans="7:7" x14ac:dyDescent="0.3">
      <c r="G201" s="98"/>
    </row>
    <row r="202" spans="7:7" x14ac:dyDescent="0.3">
      <c r="G202" s="98"/>
    </row>
    <row r="203" spans="7:7" x14ac:dyDescent="0.3">
      <c r="G203" s="98"/>
    </row>
    <row r="204" spans="7:7" x14ac:dyDescent="0.3">
      <c r="G204" s="98"/>
    </row>
    <row r="205" spans="7:7" x14ac:dyDescent="0.3">
      <c r="G205" s="98"/>
    </row>
    <row r="206" spans="7:7" x14ac:dyDescent="0.3">
      <c r="G206" s="98"/>
    </row>
    <row r="207" spans="7:7" x14ac:dyDescent="0.3">
      <c r="G207" s="98"/>
    </row>
    <row r="208" spans="7:7" x14ac:dyDescent="0.3">
      <c r="G208" s="98"/>
    </row>
    <row r="209" spans="7:7" x14ac:dyDescent="0.3">
      <c r="G209" s="98"/>
    </row>
    <row r="210" spans="7:7" x14ac:dyDescent="0.3">
      <c r="G210" s="98"/>
    </row>
    <row r="211" spans="7:7" x14ac:dyDescent="0.3">
      <c r="G211" s="98"/>
    </row>
    <row r="212" spans="7:7" x14ac:dyDescent="0.3">
      <c r="G212" s="98"/>
    </row>
    <row r="213" spans="7:7" x14ac:dyDescent="0.3">
      <c r="G213" s="98"/>
    </row>
    <row r="214" spans="7:7" x14ac:dyDescent="0.3">
      <c r="G214" s="98"/>
    </row>
    <row r="215" spans="7:7" x14ac:dyDescent="0.3">
      <c r="G215" s="98"/>
    </row>
    <row r="216" spans="7:7" x14ac:dyDescent="0.3">
      <c r="G216" s="98"/>
    </row>
    <row r="217" spans="7:7" x14ac:dyDescent="0.3">
      <c r="G217" s="98"/>
    </row>
    <row r="218" spans="7:7" x14ac:dyDescent="0.3">
      <c r="G218" s="98"/>
    </row>
    <row r="219" spans="7:7" x14ac:dyDescent="0.3">
      <c r="G219" s="98"/>
    </row>
    <row r="220" spans="7:7" x14ac:dyDescent="0.3">
      <c r="G220" s="98"/>
    </row>
    <row r="221" spans="7:7" x14ac:dyDescent="0.3">
      <c r="G221" s="98"/>
    </row>
    <row r="222" spans="7:7" x14ac:dyDescent="0.3">
      <c r="G222" s="98"/>
    </row>
    <row r="223" spans="7:7" x14ac:dyDescent="0.3">
      <c r="G223" s="98"/>
    </row>
    <row r="224" spans="7:7" x14ac:dyDescent="0.3">
      <c r="G224" s="98"/>
    </row>
    <row r="225" spans="7:7" x14ac:dyDescent="0.3">
      <c r="G225" s="98"/>
    </row>
    <row r="226" spans="7:7" x14ac:dyDescent="0.3">
      <c r="G226" s="98"/>
    </row>
    <row r="227" spans="7:7" x14ac:dyDescent="0.3">
      <c r="G227" s="98"/>
    </row>
    <row r="228" spans="7:7" x14ac:dyDescent="0.3">
      <c r="G228" s="98"/>
    </row>
    <row r="229" spans="7:7" x14ac:dyDescent="0.3">
      <c r="G229" s="98"/>
    </row>
    <row r="230" spans="7:7" x14ac:dyDescent="0.3">
      <c r="G230" s="98"/>
    </row>
    <row r="231" spans="7:7" x14ac:dyDescent="0.3">
      <c r="G231" s="98"/>
    </row>
    <row r="232" spans="7:7" x14ac:dyDescent="0.3">
      <c r="G232" s="98"/>
    </row>
    <row r="233" spans="7:7" x14ac:dyDescent="0.3">
      <c r="G233" s="98"/>
    </row>
    <row r="234" spans="7:7" x14ac:dyDescent="0.3">
      <c r="G234" s="98"/>
    </row>
    <row r="235" spans="7:7" x14ac:dyDescent="0.3">
      <c r="G235" s="98"/>
    </row>
    <row r="236" spans="7:7" x14ac:dyDescent="0.3">
      <c r="G236" s="98"/>
    </row>
    <row r="237" spans="7:7" x14ac:dyDescent="0.3">
      <c r="G237" s="98"/>
    </row>
    <row r="238" spans="7:7" x14ac:dyDescent="0.3">
      <c r="G238" s="98"/>
    </row>
    <row r="239" spans="7:7" x14ac:dyDescent="0.3">
      <c r="G239" s="98"/>
    </row>
    <row r="240" spans="7:7" x14ac:dyDescent="0.3">
      <c r="G240" s="98"/>
    </row>
    <row r="241" spans="7:7" x14ac:dyDescent="0.3">
      <c r="G241" s="98"/>
    </row>
    <row r="242" spans="7:7" x14ac:dyDescent="0.3">
      <c r="G242" s="98"/>
    </row>
    <row r="243" spans="7:7" x14ac:dyDescent="0.3">
      <c r="G243" s="98"/>
    </row>
    <row r="244" spans="7:7" x14ac:dyDescent="0.3">
      <c r="G244" s="98"/>
    </row>
    <row r="245" spans="7:7" x14ac:dyDescent="0.3">
      <c r="G245" s="98"/>
    </row>
    <row r="246" spans="7:7" x14ac:dyDescent="0.3">
      <c r="G246" s="98"/>
    </row>
    <row r="247" spans="7:7" x14ac:dyDescent="0.3">
      <c r="G247" s="98"/>
    </row>
    <row r="248" spans="7:7" x14ac:dyDescent="0.3">
      <c r="G248" s="98"/>
    </row>
    <row r="249" spans="7:7" x14ac:dyDescent="0.3">
      <c r="G249" s="98"/>
    </row>
    <row r="250" spans="7:7" x14ac:dyDescent="0.3">
      <c r="G250" s="98"/>
    </row>
    <row r="251" spans="7:7" x14ac:dyDescent="0.3">
      <c r="G251" s="98"/>
    </row>
    <row r="252" spans="7:7" x14ac:dyDescent="0.3">
      <c r="G252" s="98"/>
    </row>
    <row r="253" spans="7:7" x14ac:dyDescent="0.3">
      <c r="G253" s="98"/>
    </row>
    <row r="254" spans="7:7" x14ac:dyDescent="0.3">
      <c r="G254" s="98"/>
    </row>
    <row r="255" spans="7:7" x14ac:dyDescent="0.3">
      <c r="G255" s="98"/>
    </row>
    <row r="256" spans="7:7" x14ac:dyDescent="0.3">
      <c r="G256" s="98"/>
    </row>
    <row r="257" spans="7:7" x14ac:dyDescent="0.3">
      <c r="G257" s="98"/>
    </row>
    <row r="258" spans="7:7" x14ac:dyDescent="0.3">
      <c r="G258" s="98"/>
    </row>
    <row r="259" spans="7:7" x14ac:dyDescent="0.3">
      <c r="G259" s="98"/>
    </row>
    <row r="260" spans="7:7" x14ac:dyDescent="0.3">
      <c r="G260" s="98"/>
    </row>
    <row r="261" spans="7:7" x14ac:dyDescent="0.3">
      <c r="G261" s="98"/>
    </row>
    <row r="262" spans="7:7" x14ac:dyDescent="0.3">
      <c r="G262" s="98"/>
    </row>
    <row r="263" spans="7:7" x14ac:dyDescent="0.3">
      <c r="G263" s="98"/>
    </row>
    <row r="264" spans="7:7" x14ac:dyDescent="0.3">
      <c r="G264" s="98"/>
    </row>
    <row r="265" spans="7:7" x14ac:dyDescent="0.3">
      <c r="G265" s="98"/>
    </row>
    <row r="266" spans="7:7" x14ac:dyDescent="0.3">
      <c r="G266" s="98"/>
    </row>
    <row r="267" spans="7:7" x14ac:dyDescent="0.3">
      <c r="G267" s="98"/>
    </row>
    <row r="268" spans="7:7" x14ac:dyDescent="0.3">
      <c r="G268" s="98"/>
    </row>
    <row r="269" spans="7:7" x14ac:dyDescent="0.3">
      <c r="G269" s="98"/>
    </row>
    <row r="270" spans="7:7" x14ac:dyDescent="0.3">
      <c r="G270" s="98"/>
    </row>
    <row r="271" spans="7:7" x14ac:dyDescent="0.3">
      <c r="G271" s="98"/>
    </row>
    <row r="272" spans="7:7" x14ac:dyDescent="0.3">
      <c r="G272" s="98"/>
    </row>
    <row r="273" spans="7:7" x14ac:dyDescent="0.3">
      <c r="G273" s="98"/>
    </row>
    <row r="274" spans="7:7" x14ac:dyDescent="0.3">
      <c r="G274" s="98"/>
    </row>
    <row r="275" spans="7:7" x14ac:dyDescent="0.3">
      <c r="G275" s="98"/>
    </row>
    <row r="276" spans="7:7" x14ac:dyDescent="0.3">
      <c r="G276" s="98"/>
    </row>
    <row r="277" spans="7:7" x14ac:dyDescent="0.3">
      <c r="G277" s="98"/>
    </row>
    <row r="278" spans="7:7" x14ac:dyDescent="0.3">
      <c r="G278" s="98"/>
    </row>
    <row r="279" spans="7:7" x14ac:dyDescent="0.3">
      <c r="G279" s="98"/>
    </row>
    <row r="280" spans="7:7" x14ac:dyDescent="0.3">
      <c r="G280" s="98"/>
    </row>
    <row r="281" spans="7:7" x14ac:dyDescent="0.3">
      <c r="G281" s="98"/>
    </row>
    <row r="282" spans="7:7" x14ac:dyDescent="0.3">
      <c r="G282" s="98"/>
    </row>
    <row r="283" spans="7:7" x14ac:dyDescent="0.3">
      <c r="G283" s="98"/>
    </row>
    <row r="284" spans="7:7" x14ac:dyDescent="0.3">
      <c r="G284" s="98"/>
    </row>
    <row r="285" spans="7:7" x14ac:dyDescent="0.3">
      <c r="G285" s="98"/>
    </row>
    <row r="286" spans="7:7" x14ac:dyDescent="0.3">
      <c r="G286" s="98"/>
    </row>
    <row r="287" spans="7:7" x14ac:dyDescent="0.3">
      <c r="G287" s="98"/>
    </row>
    <row r="288" spans="7:7" x14ac:dyDescent="0.3">
      <c r="G288" s="98"/>
    </row>
    <row r="289" spans="7:7" x14ac:dyDescent="0.3">
      <c r="G289" s="98"/>
    </row>
    <row r="290" spans="7:7" x14ac:dyDescent="0.3">
      <c r="G290" s="98"/>
    </row>
    <row r="291" spans="7:7" x14ac:dyDescent="0.3">
      <c r="G291" s="98"/>
    </row>
    <row r="292" spans="7:7" x14ac:dyDescent="0.3">
      <c r="G292" s="98"/>
    </row>
    <row r="293" spans="7:7" x14ac:dyDescent="0.3">
      <c r="G293" s="98"/>
    </row>
    <row r="294" spans="7:7" x14ac:dyDescent="0.3">
      <c r="G294" s="98"/>
    </row>
    <row r="295" spans="7:7" x14ac:dyDescent="0.3">
      <c r="G295" s="98"/>
    </row>
    <row r="296" spans="7:7" x14ac:dyDescent="0.3">
      <c r="G296" s="98"/>
    </row>
    <row r="297" spans="7:7" x14ac:dyDescent="0.3">
      <c r="G297" s="98"/>
    </row>
    <row r="298" spans="7:7" x14ac:dyDescent="0.3">
      <c r="G298" s="98"/>
    </row>
    <row r="299" spans="7:7" x14ac:dyDescent="0.3">
      <c r="G299" s="98"/>
    </row>
    <row r="300" spans="7:7" x14ac:dyDescent="0.3">
      <c r="G300" s="98"/>
    </row>
    <row r="301" spans="7:7" x14ac:dyDescent="0.3">
      <c r="G301" s="98"/>
    </row>
    <row r="302" spans="7:7" x14ac:dyDescent="0.3">
      <c r="G302" s="98"/>
    </row>
    <row r="303" spans="7:7" x14ac:dyDescent="0.3">
      <c r="G303" s="98"/>
    </row>
    <row r="304" spans="7:7" x14ac:dyDescent="0.3">
      <c r="G304" s="98"/>
    </row>
    <row r="305" spans="7:7" x14ac:dyDescent="0.3">
      <c r="G305" s="98"/>
    </row>
    <row r="306" spans="7:7" x14ac:dyDescent="0.3">
      <c r="G306" s="98"/>
    </row>
    <row r="307" spans="7:7" x14ac:dyDescent="0.3">
      <c r="G307" s="98"/>
    </row>
    <row r="308" spans="7:7" x14ac:dyDescent="0.3">
      <c r="G308" s="98"/>
    </row>
    <row r="309" spans="7:7" x14ac:dyDescent="0.3">
      <c r="G309" s="98"/>
    </row>
    <row r="310" spans="7:7" x14ac:dyDescent="0.3">
      <c r="G310" s="98"/>
    </row>
    <row r="311" spans="7:7" x14ac:dyDescent="0.3">
      <c r="G311" s="98"/>
    </row>
    <row r="312" spans="7:7" x14ac:dyDescent="0.3">
      <c r="G312" s="98"/>
    </row>
    <row r="313" spans="7:7" x14ac:dyDescent="0.3">
      <c r="G313" s="98"/>
    </row>
    <row r="314" spans="7:7" x14ac:dyDescent="0.3">
      <c r="G314" s="98"/>
    </row>
    <row r="315" spans="7:7" x14ac:dyDescent="0.3">
      <c r="G315" s="98"/>
    </row>
    <row r="316" spans="7:7" x14ac:dyDescent="0.3">
      <c r="G316" s="98"/>
    </row>
    <row r="317" spans="7:7" x14ac:dyDescent="0.3">
      <c r="G317" s="98"/>
    </row>
    <row r="318" spans="7:7" x14ac:dyDescent="0.3">
      <c r="G318" s="98"/>
    </row>
    <row r="319" spans="7:7" x14ac:dyDescent="0.3">
      <c r="G319" s="98"/>
    </row>
    <row r="320" spans="7:7" x14ac:dyDescent="0.3">
      <c r="G320" s="98"/>
    </row>
    <row r="321" spans="7:7" x14ac:dyDescent="0.3">
      <c r="G321" s="98"/>
    </row>
    <row r="322" spans="7:7" x14ac:dyDescent="0.3">
      <c r="G322" s="98"/>
    </row>
    <row r="323" spans="7:7" x14ac:dyDescent="0.3">
      <c r="G323" s="98"/>
    </row>
    <row r="324" spans="7:7" x14ac:dyDescent="0.3">
      <c r="G324" s="98"/>
    </row>
    <row r="325" spans="7:7" x14ac:dyDescent="0.3">
      <c r="G325" s="98"/>
    </row>
    <row r="326" spans="7:7" x14ac:dyDescent="0.3">
      <c r="G326" s="98"/>
    </row>
    <row r="327" spans="7:7" x14ac:dyDescent="0.3">
      <c r="G327" s="98"/>
    </row>
    <row r="328" spans="7:7" x14ac:dyDescent="0.3">
      <c r="G328" s="98"/>
    </row>
    <row r="329" spans="7:7" x14ac:dyDescent="0.3">
      <c r="G329" s="98"/>
    </row>
    <row r="330" spans="7:7" x14ac:dyDescent="0.3">
      <c r="G330" s="98"/>
    </row>
    <row r="331" spans="7:7" x14ac:dyDescent="0.3">
      <c r="G331" s="98"/>
    </row>
    <row r="332" spans="7:7" x14ac:dyDescent="0.3">
      <c r="G332" s="98"/>
    </row>
    <row r="333" spans="7:7" x14ac:dyDescent="0.3">
      <c r="G333" s="98"/>
    </row>
    <row r="334" spans="7:7" x14ac:dyDescent="0.3">
      <c r="G334" s="98"/>
    </row>
    <row r="335" spans="7:7" x14ac:dyDescent="0.3">
      <c r="G335" s="98"/>
    </row>
    <row r="336" spans="7:7" x14ac:dyDescent="0.3">
      <c r="G336" s="98"/>
    </row>
    <row r="337" spans="7:7" x14ac:dyDescent="0.3">
      <c r="G337" s="98"/>
    </row>
    <row r="338" spans="7:7" x14ac:dyDescent="0.3">
      <c r="G338" s="98"/>
    </row>
    <row r="339" spans="7:7" x14ac:dyDescent="0.3">
      <c r="G339" s="98"/>
    </row>
    <row r="340" spans="7:7" x14ac:dyDescent="0.3">
      <c r="G340" s="98"/>
    </row>
    <row r="341" spans="7:7" x14ac:dyDescent="0.3">
      <c r="G341" s="98"/>
    </row>
    <row r="342" spans="7:7" x14ac:dyDescent="0.3">
      <c r="G342" s="98"/>
    </row>
    <row r="343" spans="7:7" x14ac:dyDescent="0.3">
      <c r="G343" s="98"/>
    </row>
    <row r="344" spans="7:7" x14ac:dyDescent="0.3">
      <c r="G344" s="98"/>
    </row>
    <row r="345" spans="7:7" x14ac:dyDescent="0.3">
      <c r="G345" s="98"/>
    </row>
    <row r="346" spans="7:7" x14ac:dyDescent="0.3">
      <c r="G346" s="98"/>
    </row>
    <row r="347" spans="7:7" x14ac:dyDescent="0.3">
      <c r="G347" s="98"/>
    </row>
    <row r="348" spans="7:7" x14ac:dyDescent="0.3">
      <c r="G348" s="98"/>
    </row>
    <row r="349" spans="7:7" x14ac:dyDescent="0.3">
      <c r="G349" s="98"/>
    </row>
    <row r="350" spans="7:7" x14ac:dyDescent="0.3">
      <c r="G350" s="98"/>
    </row>
    <row r="351" spans="7:7" x14ac:dyDescent="0.3">
      <c r="G351" s="98"/>
    </row>
    <row r="352" spans="7:7" x14ac:dyDescent="0.3">
      <c r="G352" s="98"/>
    </row>
    <row r="353" spans="7:7" x14ac:dyDescent="0.3">
      <c r="G353" s="98"/>
    </row>
    <row r="354" spans="7:7" x14ac:dyDescent="0.3">
      <c r="G354" s="98"/>
    </row>
    <row r="355" spans="7:7" x14ac:dyDescent="0.3">
      <c r="G355" s="98"/>
    </row>
    <row r="356" spans="7:7" x14ac:dyDescent="0.3">
      <c r="G356" s="98"/>
    </row>
    <row r="357" spans="7:7" x14ac:dyDescent="0.3">
      <c r="G357" s="98"/>
    </row>
    <row r="358" spans="7:7" x14ac:dyDescent="0.3">
      <c r="G358" s="98"/>
    </row>
    <row r="359" spans="7:7" x14ac:dyDescent="0.3">
      <c r="G359" s="98"/>
    </row>
    <row r="360" spans="7:7" x14ac:dyDescent="0.3">
      <c r="G360" s="98"/>
    </row>
    <row r="361" spans="7:7" x14ac:dyDescent="0.3">
      <c r="G361" s="98"/>
    </row>
    <row r="362" spans="7:7" x14ac:dyDescent="0.3">
      <c r="G362" s="98"/>
    </row>
    <row r="363" spans="7:7" x14ac:dyDescent="0.3">
      <c r="G363" s="98"/>
    </row>
    <row r="364" spans="7:7" x14ac:dyDescent="0.3">
      <c r="G364" s="98"/>
    </row>
    <row r="365" spans="7:7" x14ac:dyDescent="0.3">
      <c r="G365" s="98"/>
    </row>
    <row r="366" spans="7:7" x14ac:dyDescent="0.3">
      <c r="G366" s="98"/>
    </row>
    <row r="367" spans="7:7" x14ac:dyDescent="0.3">
      <c r="G367" s="98"/>
    </row>
    <row r="368" spans="7:7" x14ac:dyDescent="0.3">
      <c r="G368" s="98"/>
    </row>
    <row r="369" spans="7:7" x14ac:dyDescent="0.3">
      <c r="G369" s="98"/>
    </row>
    <row r="370" spans="7:7" x14ac:dyDescent="0.3">
      <c r="G370" s="98"/>
    </row>
    <row r="371" spans="7:7" x14ac:dyDescent="0.3">
      <c r="G371" s="98"/>
    </row>
    <row r="372" spans="7:7" x14ac:dyDescent="0.3">
      <c r="G372" s="98"/>
    </row>
    <row r="373" spans="7:7" x14ac:dyDescent="0.3">
      <c r="G373" s="98"/>
    </row>
    <row r="374" spans="7:7" x14ac:dyDescent="0.3">
      <c r="G374" s="98"/>
    </row>
    <row r="375" spans="7:7" x14ac:dyDescent="0.3">
      <c r="G375" s="98"/>
    </row>
    <row r="376" spans="7:7" x14ac:dyDescent="0.3">
      <c r="G376" s="98"/>
    </row>
    <row r="377" spans="7:7" x14ac:dyDescent="0.3">
      <c r="G377" s="98"/>
    </row>
    <row r="378" spans="7:7" x14ac:dyDescent="0.3">
      <c r="G378" s="98"/>
    </row>
    <row r="379" spans="7:7" x14ac:dyDescent="0.3">
      <c r="G379" s="98"/>
    </row>
    <row r="380" spans="7:7" x14ac:dyDescent="0.3">
      <c r="G380" s="98"/>
    </row>
    <row r="381" spans="7:7" x14ac:dyDescent="0.3">
      <c r="G381" s="98"/>
    </row>
    <row r="382" spans="7:7" x14ac:dyDescent="0.3">
      <c r="G382" s="98"/>
    </row>
    <row r="383" spans="7:7" x14ac:dyDescent="0.3">
      <c r="G383" s="98"/>
    </row>
    <row r="384" spans="7:7" x14ac:dyDescent="0.3">
      <c r="G384" s="98"/>
    </row>
    <row r="385" spans="7:7" x14ac:dyDescent="0.3">
      <c r="G385" s="98"/>
    </row>
    <row r="386" spans="7:7" x14ac:dyDescent="0.3">
      <c r="G386" s="98"/>
    </row>
    <row r="387" spans="7:7" x14ac:dyDescent="0.3">
      <c r="G387" s="98"/>
    </row>
    <row r="388" spans="7:7" x14ac:dyDescent="0.3">
      <c r="G388" s="98"/>
    </row>
    <row r="389" spans="7:7" x14ac:dyDescent="0.3">
      <c r="G389" s="98"/>
    </row>
    <row r="390" spans="7:7" x14ac:dyDescent="0.3">
      <c r="G390" s="98"/>
    </row>
    <row r="391" spans="7:7" x14ac:dyDescent="0.3">
      <c r="G391" s="98"/>
    </row>
    <row r="392" spans="7:7" x14ac:dyDescent="0.3">
      <c r="G392" s="98"/>
    </row>
    <row r="393" spans="7:7" x14ac:dyDescent="0.3">
      <c r="G393" s="98"/>
    </row>
    <row r="394" spans="7:7" x14ac:dyDescent="0.3">
      <c r="G394" s="98"/>
    </row>
    <row r="395" spans="7:7" x14ac:dyDescent="0.3">
      <c r="G395" s="98"/>
    </row>
    <row r="396" spans="7:7" x14ac:dyDescent="0.3">
      <c r="G396" s="98"/>
    </row>
    <row r="397" spans="7:7" x14ac:dyDescent="0.3">
      <c r="G397" s="98"/>
    </row>
    <row r="398" spans="7:7" x14ac:dyDescent="0.3">
      <c r="G398" s="98"/>
    </row>
    <row r="399" spans="7:7" x14ac:dyDescent="0.3">
      <c r="G399" s="98"/>
    </row>
    <row r="400" spans="7:7" x14ac:dyDescent="0.3">
      <c r="G400" s="98"/>
    </row>
    <row r="401" spans="7:7" x14ac:dyDescent="0.3">
      <c r="G401" s="98"/>
    </row>
    <row r="402" spans="7:7" x14ac:dyDescent="0.3">
      <c r="G402" s="98"/>
    </row>
    <row r="403" spans="7:7" x14ac:dyDescent="0.3">
      <c r="G403" s="98"/>
    </row>
    <row r="404" spans="7:7" x14ac:dyDescent="0.3">
      <c r="G404" s="98"/>
    </row>
    <row r="405" spans="7:7" x14ac:dyDescent="0.3">
      <c r="G405" s="98"/>
    </row>
    <row r="406" spans="7:7" x14ac:dyDescent="0.3">
      <c r="G406" s="98"/>
    </row>
    <row r="407" spans="7:7" x14ac:dyDescent="0.3">
      <c r="G407" s="98"/>
    </row>
    <row r="408" spans="7:7" x14ac:dyDescent="0.3">
      <c r="G408" s="98"/>
    </row>
    <row r="409" spans="7:7" x14ac:dyDescent="0.3">
      <c r="G409" s="98"/>
    </row>
    <row r="410" spans="7:7" x14ac:dyDescent="0.3">
      <c r="G410" s="98"/>
    </row>
    <row r="411" spans="7:7" x14ac:dyDescent="0.3">
      <c r="G411" s="98"/>
    </row>
    <row r="412" spans="7:7" x14ac:dyDescent="0.3">
      <c r="G412" s="98"/>
    </row>
    <row r="413" spans="7:7" x14ac:dyDescent="0.3">
      <c r="G413" s="98"/>
    </row>
    <row r="414" spans="7:7" x14ac:dyDescent="0.3">
      <c r="G414" s="98"/>
    </row>
    <row r="415" spans="7:7" x14ac:dyDescent="0.3">
      <c r="G415" s="98"/>
    </row>
    <row r="416" spans="7:7" x14ac:dyDescent="0.3">
      <c r="G416" s="98"/>
    </row>
    <row r="417" spans="7:7" x14ac:dyDescent="0.3">
      <c r="G417" s="98"/>
    </row>
    <row r="418" spans="7:7" x14ac:dyDescent="0.3">
      <c r="G418" s="98"/>
    </row>
    <row r="419" spans="7:7" x14ac:dyDescent="0.3">
      <c r="G419" s="98"/>
    </row>
    <row r="420" spans="7:7" x14ac:dyDescent="0.3">
      <c r="G420" s="98"/>
    </row>
    <row r="421" spans="7:7" x14ac:dyDescent="0.3">
      <c r="G421" s="98"/>
    </row>
    <row r="422" spans="7:7" x14ac:dyDescent="0.3">
      <c r="G422" s="98"/>
    </row>
    <row r="423" spans="7:7" x14ac:dyDescent="0.3">
      <c r="G423" s="98"/>
    </row>
    <row r="424" spans="7:7" x14ac:dyDescent="0.3">
      <c r="G424" s="98"/>
    </row>
    <row r="425" spans="7:7" x14ac:dyDescent="0.3">
      <c r="G425" s="98"/>
    </row>
    <row r="426" spans="7:7" x14ac:dyDescent="0.3">
      <c r="G426" s="98"/>
    </row>
    <row r="427" spans="7:7" x14ac:dyDescent="0.3">
      <c r="G427" s="98"/>
    </row>
    <row r="428" spans="7:7" x14ac:dyDescent="0.3">
      <c r="G428" s="98"/>
    </row>
    <row r="429" spans="7:7" x14ac:dyDescent="0.3">
      <c r="G429" s="98"/>
    </row>
    <row r="430" spans="7:7" x14ac:dyDescent="0.3">
      <c r="G430" s="98"/>
    </row>
    <row r="431" spans="7:7" x14ac:dyDescent="0.3">
      <c r="G431" s="98"/>
    </row>
    <row r="432" spans="7:7" x14ac:dyDescent="0.3">
      <c r="G432" s="98"/>
    </row>
    <row r="433" spans="7:7" x14ac:dyDescent="0.3">
      <c r="G433" s="98"/>
    </row>
    <row r="434" spans="7:7" x14ac:dyDescent="0.3">
      <c r="G434" s="98"/>
    </row>
    <row r="435" spans="7:7" x14ac:dyDescent="0.3">
      <c r="G435" s="98"/>
    </row>
    <row r="436" spans="7:7" x14ac:dyDescent="0.3">
      <c r="G436" s="98"/>
    </row>
    <row r="437" spans="7:7" x14ac:dyDescent="0.3">
      <c r="G437" s="98"/>
    </row>
    <row r="438" spans="7:7" x14ac:dyDescent="0.3">
      <c r="G438" s="98"/>
    </row>
    <row r="439" spans="7:7" x14ac:dyDescent="0.3">
      <c r="G439" s="98"/>
    </row>
    <row r="440" spans="7:7" x14ac:dyDescent="0.3">
      <c r="G440" s="98"/>
    </row>
    <row r="441" spans="7:7" x14ac:dyDescent="0.3">
      <c r="G441" s="98"/>
    </row>
    <row r="442" spans="7:7" x14ac:dyDescent="0.3">
      <c r="G442" s="98"/>
    </row>
    <row r="443" spans="7:7" x14ac:dyDescent="0.3">
      <c r="G443" s="98"/>
    </row>
    <row r="444" spans="7:7" x14ac:dyDescent="0.3">
      <c r="G444" s="98"/>
    </row>
    <row r="445" spans="7:7" x14ac:dyDescent="0.3">
      <c r="G445" s="98"/>
    </row>
    <row r="446" spans="7:7" x14ac:dyDescent="0.3">
      <c r="G446" s="98"/>
    </row>
    <row r="447" spans="7:7" x14ac:dyDescent="0.3">
      <c r="G447" s="98"/>
    </row>
    <row r="448" spans="7:7" x14ac:dyDescent="0.3">
      <c r="G448" s="98"/>
    </row>
    <row r="449" spans="7:7" x14ac:dyDescent="0.3">
      <c r="G449" s="98"/>
    </row>
    <row r="450" spans="7:7" x14ac:dyDescent="0.3">
      <c r="G450" s="98"/>
    </row>
    <row r="451" spans="7:7" x14ac:dyDescent="0.3">
      <c r="G451" s="98"/>
    </row>
    <row r="452" spans="7:7" x14ac:dyDescent="0.3">
      <c r="G452" s="98"/>
    </row>
    <row r="453" spans="7:7" x14ac:dyDescent="0.3">
      <c r="G453" s="98"/>
    </row>
    <row r="454" spans="7:7" x14ac:dyDescent="0.3">
      <c r="G454" s="98"/>
    </row>
    <row r="455" spans="7:7" x14ac:dyDescent="0.3">
      <c r="G455" s="98"/>
    </row>
    <row r="456" spans="7:7" x14ac:dyDescent="0.3">
      <c r="G456" s="98"/>
    </row>
    <row r="457" spans="7:7" x14ac:dyDescent="0.3">
      <c r="G457" s="98"/>
    </row>
    <row r="458" spans="7:7" x14ac:dyDescent="0.3">
      <c r="G458" s="98"/>
    </row>
    <row r="459" spans="7:7" x14ac:dyDescent="0.3">
      <c r="G459" s="98"/>
    </row>
    <row r="460" spans="7:7" x14ac:dyDescent="0.3">
      <c r="G460" s="98"/>
    </row>
    <row r="461" spans="7:7" x14ac:dyDescent="0.3">
      <c r="G461" s="98"/>
    </row>
    <row r="462" spans="7:7" x14ac:dyDescent="0.3">
      <c r="G462" s="98"/>
    </row>
    <row r="463" spans="7:7" x14ac:dyDescent="0.3">
      <c r="G463" s="98"/>
    </row>
    <row r="464" spans="7:7" x14ac:dyDescent="0.3">
      <c r="G464" s="98"/>
    </row>
    <row r="465" spans="7:7" x14ac:dyDescent="0.3">
      <c r="G465" s="98"/>
    </row>
    <row r="466" spans="7:7" x14ac:dyDescent="0.3">
      <c r="G466" s="98"/>
    </row>
    <row r="467" spans="7:7" x14ac:dyDescent="0.3">
      <c r="G467" s="98"/>
    </row>
    <row r="468" spans="7:7" x14ac:dyDescent="0.3">
      <c r="G468" s="98"/>
    </row>
    <row r="469" spans="7:7" x14ac:dyDescent="0.3">
      <c r="G469" s="98"/>
    </row>
    <row r="470" spans="7:7" x14ac:dyDescent="0.3">
      <c r="G470" s="98"/>
    </row>
    <row r="471" spans="7:7" x14ac:dyDescent="0.3">
      <c r="G471" s="98"/>
    </row>
    <row r="472" spans="7:7" x14ac:dyDescent="0.3">
      <c r="G472" s="98"/>
    </row>
    <row r="473" spans="7:7" x14ac:dyDescent="0.3">
      <c r="G473" s="98"/>
    </row>
    <row r="474" spans="7:7" x14ac:dyDescent="0.3">
      <c r="G474" s="98"/>
    </row>
    <row r="475" spans="7:7" x14ac:dyDescent="0.3">
      <c r="G475" s="98"/>
    </row>
    <row r="476" spans="7:7" x14ac:dyDescent="0.3">
      <c r="G476" s="98"/>
    </row>
    <row r="477" spans="7:7" x14ac:dyDescent="0.3">
      <c r="G477" s="98"/>
    </row>
    <row r="478" spans="7:7" x14ac:dyDescent="0.3">
      <c r="G478" s="98"/>
    </row>
    <row r="479" spans="7:7" x14ac:dyDescent="0.3">
      <c r="G479" s="98"/>
    </row>
    <row r="480" spans="7:7" x14ac:dyDescent="0.3">
      <c r="G480" s="98"/>
    </row>
    <row r="481" spans="7:7" x14ac:dyDescent="0.3">
      <c r="G481" s="98"/>
    </row>
    <row r="482" spans="7:7" x14ac:dyDescent="0.3">
      <c r="G482" s="98"/>
    </row>
    <row r="483" spans="7:7" x14ac:dyDescent="0.3">
      <c r="G483" s="98"/>
    </row>
    <row r="484" spans="7:7" x14ac:dyDescent="0.3">
      <c r="G484" s="98"/>
    </row>
    <row r="485" spans="7:7" x14ac:dyDescent="0.3">
      <c r="G485" s="98"/>
    </row>
    <row r="486" spans="7:7" x14ac:dyDescent="0.3">
      <c r="G486" s="98"/>
    </row>
    <row r="487" spans="7:7" x14ac:dyDescent="0.3">
      <c r="G487" s="98"/>
    </row>
    <row r="488" spans="7:7" x14ac:dyDescent="0.3">
      <c r="G488" s="98"/>
    </row>
    <row r="489" spans="7:7" x14ac:dyDescent="0.3">
      <c r="G489" s="98"/>
    </row>
    <row r="490" spans="7:7" x14ac:dyDescent="0.3">
      <c r="G490" s="98"/>
    </row>
    <row r="491" spans="7:7" x14ac:dyDescent="0.3">
      <c r="G491" s="98"/>
    </row>
    <row r="492" spans="7:7" x14ac:dyDescent="0.3">
      <c r="G492" s="98"/>
    </row>
    <row r="493" spans="7:7" x14ac:dyDescent="0.3">
      <c r="G493" s="98"/>
    </row>
    <row r="494" spans="7:7" x14ac:dyDescent="0.3">
      <c r="G494" s="98"/>
    </row>
    <row r="495" spans="7:7" x14ac:dyDescent="0.3">
      <c r="G495" s="98"/>
    </row>
    <row r="496" spans="7:7" x14ac:dyDescent="0.3">
      <c r="G496" s="98"/>
    </row>
    <row r="497" spans="7:7" x14ac:dyDescent="0.3">
      <c r="G497" s="98"/>
    </row>
    <row r="498" spans="7:7" x14ac:dyDescent="0.3">
      <c r="G498" s="98"/>
    </row>
    <row r="499" spans="7:7" x14ac:dyDescent="0.3">
      <c r="G499" s="98"/>
    </row>
    <row r="500" spans="7:7" x14ac:dyDescent="0.3">
      <c r="G500" s="98"/>
    </row>
    <row r="501" spans="7:7" x14ac:dyDescent="0.3">
      <c r="G501" s="98"/>
    </row>
    <row r="502" spans="7:7" x14ac:dyDescent="0.3">
      <c r="G502" s="98"/>
    </row>
    <row r="503" spans="7:7" x14ac:dyDescent="0.3">
      <c r="G503" s="98"/>
    </row>
    <row r="504" spans="7:7" x14ac:dyDescent="0.3">
      <c r="G504" s="98"/>
    </row>
    <row r="505" spans="7:7" x14ac:dyDescent="0.3">
      <c r="G505" s="98"/>
    </row>
    <row r="506" spans="7:7" x14ac:dyDescent="0.3">
      <c r="G506" s="98"/>
    </row>
    <row r="507" spans="7:7" x14ac:dyDescent="0.3">
      <c r="G507" s="98"/>
    </row>
    <row r="508" spans="7:7" x14ac:dyDescent="0.3">
      <c r="G508" s="98"/>
    </row>
    <row r="509" spans="7:7" x14ac:dyDescent="0.3">
      <c r="G509" s="98"/>
    </row>
    <row r="510" spans="7:7" x14ac:dyDescent="0.3">
      <c r="G510" s="98"/>
    </row>
    <row r="511" spans="7:7" x14ac:dyDescent="0.3">
      <c r="G511" s="98"/>
    </row>
    <row r="512" spans="7:7" x14ac:dyDescent="0.3">
      <c r="G512" s="98"/>
    </row>
    <row r="513" spans="7:7" x14ac:dyDescent="0.3">
      <c r="G513" s="98"/>
    </row>
    <row r="514" spans="7:7" x14ac:dyDescent="0.3">
      <c r="G514" s="98"/>
    </row>
    <row r="515" spans="7:7" x14ac:dyDescent="0.3">
      <c r="G515" s="98"/>
    </row>
    <row r="516" spans="7:7" x14ac:dyDescent="0.3">
      <c r="G516" s="98"/>
    </row>
    <row r="517" spans="7:7" x14ac:dyDescent="0.3">
      <c r="G517" s="98"/>
    </row>
    <row r="518" spans="7:7" x14ac:dyDescent="0.3">
      <c r="G518" s="98"/>
    </row>
    <row r="519" spans="7:7" x14ac:dyDescent="0.3">
      <c r="G519" s="98"/>
    </row>
    <row r="520" spans="7:7" x14ac:dyDescent="0.3">
      <c r="G520" s="98"/>
    </row>
    <row r="521" spans="7:7" x14ac:dyDescent="0.3">
      <c r="G521" s="98"/>
    </row>
    <row r="522" spans="7:7" x14ac:dyDescent="0.3">
      <c r="G522" s="98"/>
    </row>
    <row r="523" spans="7:7" x14ac:dyDescent="0.3">
      <c r="G523" s="98"/>
    </row>
    <row r="524" spans="7:7" x14ac:dyDescent="0.3">
      <c r="G524" s="98"/>
    </row>
    <row r="525" spans="7:7" x14ac:dyDescent="0.3">
      <c r="G525" s="98"/>
    </row>
    <row r="526" spans="7:7" x14ac:dyDescent="0.3">
      <c r="G526" s="98"/>
    </row>
    <row r="527" spans="7:7" x14ac:dyDescent="0.3">
      <c r="G527" s="98"/>
    </row>
    <row r="528" spans="7:7" x14ac:dyDescent="0.3">
      <c r="G528" s="98"/>
    </row>
    <row r="529" spans="7:7" x14ac:dyDescent="0.3">
      <c r="G529" s="98"/>
    </row>
    <row r="530" spans="7:7" x14ac:dyDescent="0.3">
      <c r="G530" s="98"/>
    </row>
    <row r="531" spans="7:7" x14ac:dyDescent="0.3">
      <c r="G531" s="98"/>
    </row>
    <row r="532" spans="7:7" x14ac:dyDescent="0.3">
      <c r="G532" s="98"/>
    </row>
    <row r="533" spans="7:7" x14ac:dyDescent="0.3">
      <c r="G533" s="98"/>
    </row>
    <row r="534" spans="7:7" x14ac:dyDescent="0.3">
      <c r="G534" s="98"/>
    </row>
    <row r="535" spans="7:7" x14ac:dyDescent="0.3">
      <c r="G535" s="98"/>
    </row>
    <row r="536" spans="7:7" x14ac:dyDescent="0.3">
      <c r="G536" s="98"/>
    </row>
    <row r="537" spans="7:7" x14ac:dyDescent="0.3">
      <c r="G537" s="98"/>
    </row>
    <row r="538" spans="7:7" x14ac:dyDescent="0.3">
      <c r="G538" s="98"/>
    </row>
    <row r="539" spans="7:7" x14ac:dyDescent="0.3">
      <c r="G539" s="98"/>
    </row>
    <row r="540" spans="7:7" x14ac:dyDescent="0.3">
      <c r="G540" s="98"/>
    </row>
    <row r="541" spans="7:7" x14ac:dyDescent="0.3">
      <c r="G541" s="98"/>
    </row>
    <row r="542" spans="7:7" x14ac:dyDescent="0.3">
      <c r="G542" s="98"/>
    </row>
    <row r="543" spans="7:7" x14ac:dyDescent="0.3">
      <c r="G543" s="98"/>
    </row>
    <row r="544" spans="7:7" x14ac:dyDescent="0.3">
      <c r="G544" s="98"/>
    </row>
    <row r="545" spans="7:7" x14ac:dyDescent="0.3">
      <c r="G545" s="98"/>
    </row>
    <row r="546" spans="7:7" x14ac:dyDescent="0.3">
      <c r="G546" s="98"/>
    </row>
    <row r="547" spans="7:7" x14ac:dyDescent="0.3">
      <c r="G547" s="98"/>
    </row>
    <row r="548" spans="7:7" x14ac:dyDescent="0.3">
      <c r="G548" s="98"/>
    </row>
    <row r="549" spans="7:7" x14ac:dyDescent="0.3">
      <c r="G549" s="98"/>
    </row>
    <row r="550" spans="7:7" x14ac:dyDescent="0.3">
      <c r="G550" s="98"/>
    </row>
    <row r="551" spans="7:7" x14ac:dyDescent="0.3">
      <c r="G551" s="98"/>
    </row>
    <row r="552" spans="7:7" x14ac:dyDescent="0.3">
      <c r="G552" s="98"/>
    </row>
    <row r="553" spans="7:7" x14ac:dyDescent="0.3">
      <c r="G553" s="98"/>
    </row>
    <row r="554" spans="7:7" x14ac:dyDescent="0.3">
      <c r="G554" s="98"/>
    </row>
    <row r="555" spans="7:7" x14ac:dyDescent="0.3">
      <c r="G555" s="98"/>
    </row>
    <row r="556" spans="7:7" x14ac:dyDescent="0.3">
      <c r="G556" s="98"/>
    </row>
    <row r="557" spans="7:7" x14ac:dyDescent="0.3">
      <c r="G557" s="98"/>
    </row>
    <row r="558" spans="7:7" x14ac:dyDescent="0.3">
      <c r="G558" s="98"/>
    </row>
    <row r="559" spans="7:7" x14ac:dyDescent="0.3">
      <c r="G559" s="98"/>
    </row>
    <row r="560" spans="7:7" x14ac:dyDescent="0.3">
      <c r="G560" s="98"/>
    </row>
    <row r="561" spans="7:7" x14ac:dyDescent="0.3">
      <c r="G561" s="98"/>
    </row>
    <row r="562" spans="7:7" x14ac:dyDescent="0.3">
      <c r="G562" s="98"/>
    </row>
    <row r="563" spans="7:7" x14ac:dyDescent="0.3">
      <c r="G563" s="98"/>
    </row>
    <row r="564" spans="7:7" x14ac:dyDescent="0.3">
      <c r="G564" s="98"/>
    </row>
    <row r="565" spans="7:7" x14ac:dyDescent="0.3">
      <c r="G565" s="98"/>
    </row>
    <row r="566" spans="7:7" x14ac:dyDescent="0.3">
      <c r="G566" s="98"/>
    </row>
    <row r="567" spans="7:7" x14ac:dyDescent="0.3">
      <c r="G567" s="98"/>
    </row>
    <row r="568" spans="7:7" x14ac:dyDescent="0.3">
      <c r="G568" s="98"/>
    </row>
    <row r="569" spans="7:7" x14ac:dyDescent="0.3">
      <c r="G569" s="98"/>
    </row>
    <row r="570" spans="7:7" x14ac:dyDescent="0.3">
      <c r="G570" s="98"/>
    </row>
    <row r="571" spans="7:7" x14ac:dyDescent="0.3">
      <c r="G571" s="98"/>
    </row>
    <row r="572" spans="7:7" x14ac:dyDescent="0.3">
      <c r="G572" s="98"/>
    </row>
    <row r="573" spans="7:7" x14ac:dyDescent="0.3">
      <c r="G573" s="98"/>
    </row>
    <row r="574" spans="7:7" x14ac:dyDescent="0.3">
      <c r="G574" s="98"/>
    </row>
    <row r="575" spans="7:7" x14ac:dyDescent="0.3">
      <c r="G575" s="98"/>
    </row>
    <row r="576" spans="7:7" x14ac:dyDescent="0.3">
      <c r="G576" s="98"/>
    </row>
    <row r="577" spans="7:7" x14ac:dyDescent="0.3">
      <c r="G577" s="98"/>
    </row>
    <row r="578" spans="7:7" x14ac:dyDescent="0.3">
      <c r="G578" s="98"/>
    </row>
    <row r="579" spans="7:7" x14ac:dyDescent="0.3">
      <c r="G579" s="98"/>
    </row>
    <row r="580" spans="7:7" x14ac:dyDescent="0.3">
      <c r="G580" s="98"/>
    </row>
    <row r="581" spans="7:7" x14ac:dyDescent="0.3">
      <c r="G581" s="98"/>
    </row>
    <row r="582" spans="7:7" x14ac:dyDescent="0.3">
      <c r="G582" s="98"/>
    </row>
    <row r="583" spans="7:7" x14ac:dyDescent="0.3">
      <c r="G583" s="98"/>
    </row>
    <row r="584" spans="7:7" x14ac:dyDescent="0.3">
      <c r="G584" s="98"/>
    </row>
    <row r="585" spans="7:7" x14ac:dyDescent="0.3">
      <c r="G585" s="98"/>
    </row>
    <row r="586" spans="7:7" x14ac:dyDescent="0.3">
      <c r="G586" s="98"/>
    </row>
    <row r="587" spans="7:7" x14ac:dyDescent="0.3">
      <c r="G587" s="98"/>
    </row>
    <row r="588" spans="7:7" x14ac:dyDescent="0.3">
      <c r="G588" s="98"/>
    </row>
    <row r="589" spans="7:7" x14ac:dyDescent="0.3">
      <c r="G589" s="98"/>
    </row>
    <row r="590" spans="7:7" x14ac:dyDescent="0.3">
      <c r="G590" s="98"/>
    </row>
    <row r="591" spans="7:7" x14ac:dyDescent="0.3">
      <c r="G591" s="98"/>
    </row>
    <row r="592" spans="7:7" x14ac:dyDescent="0.3">
      <c r="G592" s="98"/>
    </row>
    <row r="593" spans="7:7" x14ac:dyDescent="0.3">
      <c r="G593" s="98"/>
    </row>
    <row r="594" spans="7:7" x14ac:dyDescent="0.3">
      <c r="G594" s="98"/>
    </row>
    <row r="595" spans="7:7" x14ac:dyDescent="0.3">
      <c r="G595" s="98"/>
    </row>
    <row r="596" spans="7:7" x14ac:dyDescent="0.3">
      <c r="G596" s="98"/>
    </row>
    <row r="597" spans="7:7" x14ac:dyDescent="0.3">
      <c r="G597" s="98"/>
    </row>
    <row r="598" spans="7:7" x14ac:dyDescent="0.3">
      <c r="G598" s="98"/>
    </row>
    <row r="599" spans="7:7" x14ac:dyDescent="0.3">
      <c r="G599" s="98"/>
    </row>
    <row r="600" spans="7:7" x14ac:dyDescent="0.3">
      <c r="G600" s="98"/>
    </row>
    <row r="601" spans="7:7" x14ac:dyDescent="0.3">
      <c r="G601" s="98"/>
    </row>
    <row r="602" spans="7:7" x14ac:dyDescent="0.3">
      <c r="G602" s="98"/>
    </row>
    <row r="603" spans="7:7" x14ac:dyDescent="0.3">
      <c r="G603" s="98"/>
    </row>
    <row r="604" spans="7:7" x14ac:dyDescent="0.3">
      <c r="G604" s="98"/>
    </row>
    <row r="605" spans="7:7" x14ac:dyDescent="0.3">
      <c r="G605" s="98"/>
    </row>
    <row r="606" spans="7:7" x14ac:dyDescent="0.3">
      <c r="G606" s="98"/>
    </row>
    <row r="607" spans="7:7" x14ac:dyDescent="0.3">
      <c r="G607" s="98"/>
    </row>
    <row r="608" spans="7:7" x14ac:dyDescent="0.3">
      <c r="G608" s="98"/>
    </row>
    <row r="609" spans="7:7" x14ac:dyDescent="0.3">
      <c r="G609" s="98"/>
    </row>
    <row r="610" spans="7:7" x14ac:dyDescent="0.3">
      <c r="G610" s="98"/>
    </row>
    <row r="611" spans="7:7" x14ac:dyDescent="0.3">
      <c r="G611" s="98"/>
    </row>
    <row r="612" spans="7:7" x14ac:dyDescent="0.3">
      <c r="G612" s="98"/>
    </row>
    <row r="613" spans="7:7" x14ac:dyDescent="0.3">
      <c r="G613" s="98"/>
    </row>
    <row r="614" spans="7:7" x14ac:dyDescent="0.3">
      <c r="G614" s="98"/>
    </row>
    <row r="615" spans="7:7" x14ac:dyDescent="0.3">
      <c r="G615" s="98"/>
    </row>
    <row r="616" spans="7:7" x14ac:dyDescent="0.3">
      <c r="G616" s="98"/>
    </row>
    <row r="617" spans="7:7" x14ac:dyDescent="0.3">
      <c r="G617" s="98"/>
    </row>
    <row r="618" spans="7:7" x14ac:dyDescent="0.3">
      <c r="G618" s="98"/>
    </row>
    <row r="619" spans="7:7" x14ac:dyDescent="0.3">
      <c r="G619" s="98"/>
    </row>
    <row r="620" spans="7:7" x14ac:dyDescent="0.3">
      <c r="G620" s="98"/>
    </row>
    <row r="621" spans="7:7" x14ac:dyDescent="0.3">
      <c r="G621" s="98"/>
    </row>
    <row r="622" spans="7:7" x14ac:dyDescent="0.3">
      <c r="G622" s="98"/>
    </row>
    <row r="623" spans="7:7" x14ac:dyDescent="0.3">
      <c r="G623" s="98"/>
    </row>
    <row r="624" spans="7:7" x14ac:dyDescent="0.3">
      <c r="G624" s="98"/>
    </row>
    <row r="625" spans="7:7" x14ac:dyDescent="0.3">
      <c r="G625" s="98"/>
    </row>
    <row r="626" spans="7:7" x14ac:dyDescent="0.3">
      <c r="G626" s="98"/>
    </row>
    <row r="627" spans="7:7" x14ac:dyDescent="0.3">
      <c r="G627" s="98"/>
    </row>
    <row r="628" spans="7:7" x14ac:dyDescent="0.3">
      <c r="G628" s="98"/>
    </row>
    <row r="629" spans="7:7" x14ac:dyDescent="0.3">
      <c r="G629" s="98"/>
    </row>
    <row r="630" spans="7:7" x14ac:dyDescent="0.3">
      <c r="G630" s="98"/>
    </row>
    <row r="631" spans="7:7" x14ac:dyDescent="0.3">
      <c r="G631" s="98"/>
    </row>
    <row r="632" spans="7:7" x14ac:dyDescent="0.3">
      <c r="G632" s="98"/>
    </row>
    <row r="633" spans="7:7" x14ac:dyDescent="0.3">
      <c r="G633" s="98"/>
    </row>
    <row r="634" spans="7:7" x14ac:dyDescent="0.3">
      <c r="G634" s="98"/>
    </row>
    <row r="635" spans="7:7" x14ac:dyDescent="0.3">
      <c r="G635" s="98"/>
    </row>
    <row r="636" spans="7:7" x14ac:dyDescent="0.3">
      <c r="G636" s="98"/>
    </row>
    <row r="637" spans="7:7" x14ac:dyDescent="0.3">
      <c r="G637" s="98"/>
    </row>
    <row r="638" spans="7:7" x14ac:dyDescent="0.3">
      <c r="G638" s="98"/>
    </row>
    <row r="639" spans="7:7" x14ac:dyDescent="0.3">
      <c r="G639" s="98"/>
    </row>
    <row r="640" spans="7:7" x14ac:dyDescent="0.3">
      <c r="G640" s="98"/>
    </row>
    <row r="641" spans="7:7" x14ac:dyDescent="0.3">
      <c r="G641" s="98"/>
    </row>
    <row r="642" spans="7:7" x14ac:dyDescent="0.3">
      <c r="G642" s="98"/>
    </row>
    <row r="643" spans="7:7" x14ac:dyDescent="0.3">
      <c r="G643" s="98"/>
    </row>
    <row r="644" spans="7:7" x14ac:dyDescent="0.3">
      <c r="G644" s="98"/>
    </row>
    <row r="645" spans="7:7" x14ac:dyDescent="0.3">
      <c r="G645" s="98"/>
    </row>
    <row r="646" spans="7:7" x14ac:dyDescent="0.3">
      <c r="G646" s="98"/>
    </row>
    <row r="647" spans="7:7" x14ac:dyDescent="0.3">
      <c r="G647" s="98"/>
    </row>
    <row r="648" spans="7:7" x14ac:dyDescent="0.3">
      <c r="G648" s="98"/>
    </row>
    <row r="649" spans="7:7" x14ac:dyDescent="0.3">
      <c r="G649" s="98"/>
    </row>
    <row r="650" spans="7:7" x14ac:dyDescent="0.3">
      <c r="G650" s="98"/>
    </row>
    <row r="651" spans="7:7" x14ac:dyDescent="0.3">
      <c r="G651" s="98"/>
    </row>
    <row r="652" spans="7:7" x14ac:dyDescent="0.3">
      <c r="G652" s="98"/>
    </row>
    <row r="653" spans="7:7" x14ac:dyDescent="0.3">
      <c r="G653" s="98"/>
    </row>
    <row r="654" spans="7:7" x14ac:dyDescent="0.3">
      <c r="G654" s="98"/>
    </row>
    <row r="655" spans="7:7" x14ac:dyDescent="0.3">
      <c r="G655" s="98"/>
    </row>
    <row r="656" spans="7:7" x14ac:dyDescent="0.3">
      <c r="G656" s="98"/>
    </row>
    <row r="657" spans="7:7" x14ac:dyDescent="0.3">
      <c r="G657" s="98"/>
    </row>
    <row r="658" spans="7:7" x14ac:dyDescent="0.3">
      <c r="G658" s="98"/>
    </row>
    <row r="659" spans="7:7" x14ac:dyDescent="0.3">
      <c r="G659" s="98"/>
    </row>
    <row r="660" spans="7:7" x14ac:dyDescent="0.3">
      <c r="G660" s="98"/>
    </row>
    <row r="661" spans="7:7" x14ac:dyDescent="0.3">
      <c r="G661" s="98"/>
    </row>
    <row r="662" spans="7:7" x14ac:dyDescent="0.3">
      <c r="G662" s="98"/>
    </row>
    <row r="663" spans="7:7" x14ac:dyDescent="0.3">
      <c r="G663" s="98"/>
    </row>
    <row r="664" spans="7:7" x14ac:dyDescent="0.3">
      <c r="G664" s="98"/>
    </row>
    <row r="665" spans="7:7" x14ac:dyDescent="0.3">
      <c r="G665" s="98"/>
    </row>
    <row r="666" spans="7:7" x14ac:dyDescent="0.3">
      <c r="G666" s="98"/>
    </row>
    <row r="667" spans="7:7" x14ac:dyDescent="0.3">
      <c r="G667" s="98"/>
    </row>
    <row r="668" spans="7:7" x14ac:dyDescent="0.3">
      <c r="G668" s="98"/>
    </row>
    <row r="669" spans="7:7" x14ac:dyDescent="0.3">
      <c r="G669" s="98"/>
    </row>
    <row r="670" spans="7:7" x14ac:dyDescent="0.3">
      <c r="G670" s="98"/>
    </row>
    <row r="671" spans="7:7" x14ac:dyDescent="0.3">
      <c r="G671" s="98"/>
    </row>
    <row r="672" spans="7:7" x14ac:dyDescent="0.3">
      <c r="G672" s="98"/>
    </row>
    <row r="673" spans="7:7" x14ac:dyDescent="0.3">
      <c r="G673" s="98"/>
    </row>
    <row r="674" spans="7:7" x14ac:dyDescent="0.3">
      <c r="G674" s="98"/>
    </row>
    <row r="675" spans="7:7" x14ac:dyDescent="0.3">
      <c r="G675" s="98"/>
    </row>
    <row r="676" spans="7:7" x14ac:dyDescent="0.3">
      <c r="G676" s="98"/>
    </row>
    <row r="677" spans="7:7" x14ac:dyDescent="0.3">
      <c r="G677" s="98"/>
    </row>
    <row r="678" spans="7:7" x14ac:dyDescent="0.3">
      <c r="G678" s="98"/>
    </row>
    <row r="679" spans="7:7" x14ac:dyDescent="0.3">
      <c r="G679" s="98"/>
    </row>
    <row r="680" spans="7:7" x14ac:dyDescent="0.3">
      <c r="G680" s="98"/>
    </row>
    <row r="681" spans="7:7" x14ac:dyDescent="0.3">
      <c r="G681" s="98"/>
    </row>
    <row r="682" spans="7:7" x14ac:dyDescent="0.3">
      <c r="G682" s="98"/>
    </row>
    <row r="683" spans="7:7" x14ac:dyDescent="0.3">
      <c r="G683" s="98"/>
    </row>
    <row r="684" spans="7:7" x14ac:dyDescent="0.3">
      <c r="G684" s="98"/>
    </row>
    <row r="685" spans="7:7" x14ac:dyDescent="0.3">
      <c r="G685" s="98"/>
    </row>
    <row r="686" spans="7:7" x14ac:dyDescent="0.3">
      <c r="G686" s="98"/>
    </row>
    <row r="687" spans="7:7" x14ac:dyDescent="0.3">
      <c r="G687" s="98"/>
    </row>
    <row r="688" spans="7:7" x14ac:dyDescent="0.3">
      <c r="G688" s="98"/>
    </row>
    <row r="689" spans="7:7" x14ac:dyDescent="0.3">
      <c r="G689" s="98"/>
    </row>
    <row r="690" spans="7:7" x14ac:dyDescent="0.3">
      <c r="G690" s="98"/>
    </row>
    <row r="691" spans="7:7" x14ac:dyDescent="0.3">
      <c r="G691" s="98"/>
    </row>
    <row r="692" spans="7:7" x14ac:dyDescent="0.3">
      <c r="G692" s="98"/>
    </row>
    <row r="693" spans="7:7" x14ac:dyDescent="0.3">
      <c r="G693" s="98"/>
    </row>
    <row r="694" spans="7:7" x14ac:dyDescent="0.3">
      <c r="G694" s="98"/>
    </row>
    <row r="695" spans="7:7" x14ac:dyDescent="0.3">
      <c r="G695" s="98"/>
    </row>
    <row r="696" spans="7:7" x14ac:dyDescent="0.3">
      <c r="G696" s="98"/>
    </row>
    <row r="697" spans="7:7" x14ac:dyDescent="0.3">
      <c r="G697" s="98"/>
    </row>
    <row r="698" spans="7:7" x14ac:dyDescent="0.3">
      <c r="G698" s="98"/>
    </row>
    <row r="699" spans="7:7" x14ac:dyDescent="0.3">
      <c r="G699" s="98"/>
    </row>
    <row r="700" spans="7:7" x14ac:dyDescent="0.3">
      <c r="G700" s="98"/>
    </row>
    <row r="701" spans="7:7" x14ac:dyDescent="0.3">
      <c r="G701" s="98"/>
    </row>
    <row r="702" spans="7:7" x14ac:dyDescent="0.3">
      <c r="G702" s="98"/>
    </row>
    <row r="703" spans="7:7" x14ac:dyDescent="0.3">
      <c r="G703" s="98"/>
    </row>
    <row r="704" spans="7:7" x14ac:dyDescent="0.3">
      <c r="G704" s="98"/>
    </row>
    <row r="705" spans="7:7" x14ac:dyDescent="0.3">
      <c r="G705" s="98"/>
    </row>
    <row r="706" spans="7:7" x14ac:dyDescent="0.3">
      <c r="G706" s="98"/>
    </row>
    <row r="707" spans="7:7" x14ac:dyDescent="0.3">
      <c r="G707" s="98"/>
    </row>
    <row r="708" spans="7:7" x14ac:dyDescent="0.3">
      <c r="G708" s="98"/>
    </row>
    <row r="709" spans="7:7" x14ac:dyDescent="0.3">
      <c r="G709" s="98"/>
    </row>
    <row r="710" spans="7:7" x14ac:dyDescent="0.3">
      <c r="G710" s="98"/>
    </row>
    <row r="711" spans="7:7" x14ac:dyDescent="0.3">
      <c r="G711" s="98"/>
    </row>
    <row r="712" spans="7:7" x14ac:dyDescent="0.3">
      <c r="G712" s="98"/>
    </row>
    <row r="713" spans="7:7" x14ac:dyDescent="0.3">
      <c r="G713" s="98"/>
    </row>
    <row r="714" spans="7:7" x14ac:dyDescent="0.3">
      <c r="G714" s="98"/>
    </row>
    <row r="715" spans="7:7" x14ac:dyDescent="0.3">
      <c r="G715" s="98"/>
    </row>
    <row r="716" spans="7:7" x14ac:dyDescent="0.3">
      <c r="G716" s="98"/>
    </row>
    <row r="717" spans="7:7" x14ac:dyDescent="0.3">
      <c r="G717" s="98"/>
    </row>
    <row r="718" spans="7:7" x14ac:dyDescent="0.3">
      <c r="G718" s="98"/>
    </row>
    <row r="719" spans="7:7" x14ac:dyDescent="0.3">
      <c r="G719" s="98"/>
    </row>
    <row r="720" spans="7:7" x14ac:dyDescent="0.3">
      <c r="G720" s="98"/>
    </row>
    <row r="721" spans="7:7" x14ac:dyDescent="0.3">
      <c r="G721" s="98"/>
    </row>
    <row r="722" spans="7:7" x14ac:dyDescent="0.3">
      <c r="G722" s="98"/>
    </row>
    <row r="723" spans="7:7" x14ac:dyDescent="0.3">
      <c r="G723" s="98"/>
    </row>
    <row r="724" spans="7:7" x14ac:dyDescent="0.3">
      <c r="G724" s="98"/>
    </row>
    <row r="725" spans="7:7" x14ac:dyDescent="0.3">
      <c r="G725" s="98"/>
    </row>
    <row r="726" spans="7:7" x14ac:dyDescent="0.3">
      <c r="G726" s="98"/>
    </row>
    <row r="727" spans="7:7" x14ac:dyDescent="0.3">
      <c r="G727" s="98"/>
    </row>
    <row r="728" spans="7:7" x14ac:dyDescent="0.3">
      <c r="G728" s="98"/>
    </row>
    <row r="729" spans="7:7" x14ac:dyDescent="0.3">
      <c r="G729" s="98"/>
    </row>
    <row r="730" spans="7:7" x14ac:dyDescent="0.3">
      <c r="G730" s="98"/>
    </row>
    <row r="731" spans="7:7" x14ac:dyDescent="0.3">
      <c r="G731" s="98"/>
    </row>
    <row r="732" spans="7:7" x14ac:dyDescent="0.3">
      <c r="G732" s="98"/>
    </row>
    <row r="733" spans="7:7" x14ac:dyDescent="0.3">
      <c r="G733" s="98"/>
    </row>
    <row r="734" spans="7:7" x14ac:dyDescent="0.3">
      <c r="G734" s="98"/>
    </row>
    <row r="735" spans="7:7" x14ac:dyDescent="0.3">
      <c r="G735" s="98"/>
    </row>
    <row r="736" spans="7:7" x14ac:dyDescent="0.3">
      <c r="G736" s="98"/>
    </row>
    <row r="737" spans="7:7" x14ac:dyDescent="0.3">
      <c r="G737" s="98"/>
    </row>
    <row r="738" spans="7:7" x14ac:dyDescent="0.3">
      <c r="G738" s="98"/>
    </row>
    <row r="739" spans="7:7" x14ac:dyDescent="0.3">
      <c r="G739" s="98"/>
    </row>
    <row r="740" spans="7:7" x14ac:dyDescent="0.3">
      <c r="G740" s="98"/>
    </row>
    <row r="741" spans="7:7" x14ac:dyDescent="0.3">
      <c r="G741" s="98"/>
    </row>
    <row r="742" spans="7:7" x14ac:dyDescent="0.3">
      <c r="G742" s="98"/>
    </row>
    <row r="743" spans="7:7" x14ac:dyDescent="0.3">
      <c r="G743" s="98"/>
    </row>
    <row r="744" spans="7:7" x14ac:dyDescent="0.3">
      <c r="G744" s="98"/>
    </row>
    <row r="745" spans="7:7" x14ac:dyDescent="0.3">
      <c r="G745" s="98"/>
    </row>
    <row r="746" spans="7:7" x14ac:dyDescent="0.3">
      <c r="G746" s="98"/>
    </row>
    <row r="747" spans="7:7" x14ac:dyDescent="0.3">
      <c r="G747" s="98"/>
    </row>
    <row r="748" spans="7:7" x14ac:dyDescent="0.3">
      <c r="G748" s="98"/>
    </row>
    <row r="749" spans="7:7" x14ac:dyDescent="0.3">
      <c r="G749" s="98"/>
    </row>
    <row r="750" spans="7:7" x14ac:dyDescent="0.3">
      <c r="G750" s="98"/>
    </row>
    <row r="751" spans="7:7" x14ac:dyDescent="0.3">
      <c r="G751" s="98"/>
    </row>
    <row r="752" spans="7:7" x14ac:dyDescent="0.3">
      <c r="G752" s="98"/>
    </row>
    <row r="753" spans="7:7" x14ac:dyDescent="0.3">
      <c r="G753" s="98"/>
    </row>
    <row r="754" spans="7:7" x14ac:dyDescent="0.3">
      <c r="G754" s="98"/>
    </row>
    <row r="755" spans="7:7" x14ac:dyDescent="0.3">
      <c r="G755" s="98"/>
    </row>
    <row r="756" spans="7:7" x14ac:dyDescent="0.3">
      <c r="G756" s="98"/>
    </row>
    <row r="757" spans="7:7" x14ac:dyDescent="0.3">
      <c r="G757" s="98"/>
    </row>
    <row r="758" spans="7:7" x14ac:dyDescent="0.3">
      <c r="G758" s="98"/>
    </row>
    <row r="759" spans="7:7" x14ac:dyDescent="0.3">
      <c r="G759" s="98"/>
    </row>
    <row r="760" spans="7:7" x14ac:dyDescent="0.3">
      <c r="G760" s="98"/>
    </row>
    <row r="761" spans="7:7" x14ac:dyDescent="0.3">
      <c r="G761" s="98"/>
    </row>
    <row r="762" spans="7:7" x14ac:dyDescent="0.3">
      <c r="G762" s="98"/>
    </row>
    <row r="763" spans="7:7" x14ac:dyDescent="0.3">
      <c r="G763" s="98"/>
    </row>
    <row r="764" spans="7:7" x14ac:dyDescent="0.3">
      <c r="G764" s="98"/>
    </row>
    <row r="765" spans="7:7" x14ac:dyDescent="0.3">
      <c r="G765" s="98"/>
    </row>
    <row r="766" spans="7:7" x14ac:dyDescent="0.3">
      <c r="G766" s="98"/>
    </row>
    <row r="767" spans="7:7" x14ac:dyDescent="0.3">
      <c r="G767" s="98"/>
    </row>
    <row r="768" spans="7:7" x14ac:dyDescent="0.3">
      <c r="G768" s="98"/>
    </row>
    <row r="769" spans="7:7" x14ac:dyDescent="0.3">
      <c r="G769" s="98"/>
    </row>
    <row r="770" spans="7:7" x14ac:dyDescent="0.3">
      <c r="G770" s="98"/>
    </row>
    <row r="771" spans="7:7" x14ac:dyDescent="0.3">
      <c r="G771" s="98"/>
    </row>
    <row r="772" spans="7:7" x14ac:dyDescent="0.3">
      <c r="G772" s="98"/>
    </row>
    <row r="773" spans="7:7" x14ac:dyDescent="0.3">
      <c r="G773" s="98"/>
    </row>
    <row r="774" spans="7:7" x14ac:dyDescent="0.3">
      <c r="G774" s="98"/>
    </row>
    <row r="775" spans="7:7" x14ac:dyDescent="0.3">
      <c r="G775" s="98"/>
    </row>
    <row r="776" spans="7:7" x14ac:dyDescent="0.3">
      <c r="G776" s="98"/>
    </row>
    <row r="777" spans="7:7" x14ac:dyDescent="0.3">
      <c r="G777" s="98"/>
    </row>
    <row r="778" spans="7:7" x14ac:dyDescent="0.3">
      <c r="G778" s="98"/>
    </row>
    <row r="779" spans="7:7" x14ac:dyDescent="0.3">
      <c r="G779" s="98"/>
    </row>
    <row r="780" spans="7:7" x14ac:dyDescent="0.3">
      <c r="G780" s="98"/>
    </row>
    <row r="781" spans="7:7" x14ac:dyDescent="0.3">
      <c r="G781" s="98"/>
    </row>
    <row r="782" spans="7:7" x14ac:dyDescent="0.3">
      <c r="G782" s="98"/>
    </row>
    <row r="783" spans="7:7" x14ac:dyDescent="0.3">
      <c r="G783" s="98"/>
    </row>
    <row r="784" spans="7:7" x14ac:dyDescent="0.3">
      <c r="G784" s="98"/>
    </row>
    <row r="785" spans="7:7" x14ac:dyDescent="0.3">
      <c r="G785" s="98"/>
    </row>
    <row r="786" spans="7:7" x14ac:dyDescent="0.3">
      <c r="G786" s="98"/>
    </row>
    <row r="787" spans="7:7" x14ac:dyDescent="0.3">
      <c r="G787" s="98"/>
    </row>
    <row r="788" spans="7:7" x14ac:dyDescent="0.3">
      <c r="G788" s="98"/>
    </row>
    <row r="789" spans="7:7" x14ac:dyDescent="0.3">
      <c r="G789" s="98"/>
    </row>
    <row r="790" spans="7:7" x14ac:dyDescent="0.3">
      <c r="G790" s="98"/>
    </row>
    <row r="791" spans="7:7" x14ac:dyDescent="0.3">
      <c r="G791" s="98"/>
    </row>
    <row r="792" spans="7:7" x14ac:dyDescent="0.3">
      <c r="G792" s="98"/>
    </row>
    <row r="793" spans="7:7" x14ac:dyDescent="0.3">
      <c r="G793" s="98"/>
    </row>
    <row r="794" spans="7:7" x14ac:dyDescent="0.3">
      <c r="G794" s="98"/>
    </row>
    <row r="795" spans="7:7" x14ac:dyDescent="0.3">
      <c r="G795" s="98"/>
    </row>
    <row r="796" spans="7:7" x14ac:dyDescent="0.3">
      <c r="G796" s="98"/>
    </row>
    <row r="797" spans="7:7" x14ac:dyDescent="0.3">
      <c r="G797" s="98"/>
    </row>
    <row r="798" spans="7:7" x14ac:dyDescent="0.3">
      <c r="G798" s="98"/>
    </row>
    <row r="799" spans="7:7" x14ac:dyDescent="0.3">
      <c r="G799" s="98"/>
    </row>
    <row r="800" spans="7:7" x14ac:dyDescent="0.3">
      <c r="G800" s="98"/>
    </row>
    <row r="801" spans="7:7" x14ac:dyDescent="0.3">
      <c r="G801" s="98"/>
    </row>
    <row r="802" spans="7:7" x14ac:dyDescent="0.3">
      <c r="G802" s="98"/>
    </row>
    <row r="803" spans="7:7" x14ac:dyDescent="0.3">
      <c r="G803" s="98"/>
    </row>
    <row r="804" spans="7:7" x14ac:dyDescent="0.3">
      <c r="G804" s="98"/>
    </row>
    <row r="805" spans="7:7" x14ac:dyDescent="0.3">
      <c r="G805" s="98"/>
    </row>
    <row r="806" spans="7:7" x14ac:dyDescent="0.3">
      <c r="G806" s="98"/>
    </row>
    <row r="807" spans="7:7" x14ac:dyDescent="0.3">
      <c r="G807" s="98"/>
    </row>
    <row r="808" spans="7:7" x14ac:dyDescent="0.3">
      <c r="G808" s="98"/>
    </row>
    <row r="809" spans="7:7" x14ac:dyDescent="0.3">
      <c r="G809" s="98"/>
    </row>
    <row r="810" spans="7:7" x14ac:dyDescent="0.3">
      <c r="G810" s="98"/>
    </row>
    <row r="811" spans="7:7" x14ac:dyDescent="0.3">
      <c r="G811" s="98"/>
    </row>
    <row r="812" spans="7:7" x14ac:dyDescent="0.3">
      <c r="G812" s="98"/>
    </row>
    <row r="813" spans="7:7" x14ac:dyDescent="0.3">
      <c r="G813" s="98"/>
    </row>
    <row r="814" spans="7:7" x14ac:dyDescent="0.3">
      <c r="G814" s="98"/>
    </row>
    <row r="815" spans="7:7" x14ac:dyDescent="0.3">
      <c r="G815" s="98"/>
    </row>
    <row r="816" spans="7:7" x14ac:dyDescent="0.3">
      <c r="G816" s="98"/>
    </row>
    <row r="817" spans="7:7" x14ac:dyDescent="0.3">
      <c r="G817" s="98"/>
    </row>
    <row r="818" spans="7:7" x14ac:dyDescent="0.3">
      <c r="G818" s="98"/>
    </row>
    <row r="819" spans="7:7" x14ac:dyDescent="0.3">
      <c r="G819" s="98"/>
    </row>
    <row r="820" spans="7:7" x14ac:dyDescent="0.3">
      <c r="G820" s="98"/>
    </row>
    <row r="821" spans="7:7" x14ac:dyDescent="0.3">
      <c r="G821" s="98"/>
    </row>
    <row r="822" spans="7:7" x14ac:dyDescent="0.3">
      <c r="G822" s="98"/>
    </row>
    <row r="823" spans="7:7" x14ac:dyDescent="0.3">
      <c r="G823" s="98"/>
    </row>
    <row r="824" spans="7:7" x14ac:dyDescent="0.3">
      <c r="G824" s="98"/>
    </row>
    <row r="825" spans="7:7" x14ac:dyDescent="0.3">
      <c r="G825" s="98"/>
    </row>
    <row r="826" spans="7:7" x14ac:dyDescent="0.3">
      <c r="G826" s="98"/>
    </row>
    <row r="827" spans="7:7" x14ac:dyDescent="0.3">
      <c r="G827" s="98"/>
    </row>
    <row r="828" spans="7:7" x14ac:dyDescent="0.3">
      <c r="G828" s="98"/>
    </row>
    <row r="829" spans="7:7" x14ac:dyDescent="0.3">
      <c r="G829" s="98"/>
    </row>
    <row r="830" spans="7:7" x14ac:dyDescent="0.3">
      <c r="G830" s="98"/>
    </row>
    <row r="831" spans="7:7" x14ac:dyDescent="0.3">
      <c r="G831" s="98"/>
    </row>
    <row r="832" spans="7:7" x14ac:dyDescent="0.3">
      <c r="G832" s="98"/>
    </row>
    <row r="833" spans="7:7" x14ac:dyDescent="0.3">
      <c r="G833" s="98"/>
    </row>
    <row r="834" spans="7:7" x14ac:dyDescent="0.3">
      <c r="G834" s="98"/>
    </row>
    <row r="835" spans="7:7" x14ac:dyDescent="0.3">
      <c r="G835" s="98"/>
    </row>
    <row r="836" spans="7:7" x14ac:dyDescent="0.3">
      <c r="G836" s="98"/>
    </row>
    <row r="837" spans="7:7" x14ac:dyDescent="0.3">
      <c r="G837" s="98"/>
    </row>
    <row r="838" spans="7:7" x14ac:dyDescent="0.3">
      <c r="G838" s="98"/>
    </row>
    <row r="839" spans="7:7" x14ac:dyDescent="0.3">
      <c r="G839" s="98"/>
    </row>
    <row r="840" spans="7:7" x14ac:dyDescent="0.3">
      <c r="G840" s="98"/>
    </row>
    <row r="841" spans="7:7" x14ac:dyDescent="0.3">
      <c r="G841" s="98"/>
    </row>
    <row r="842" spans="7:7" x14ac:dyDescent="0.3">
      <c r="G842" s="98"/>
    </row>
    <row r="843" spans="7:7" x14ac:dyDescent="0.3">
      <c r="G843" s="98"/>
    </row>
    <row r="844" spans="7:7" x14ac:dyDescent="0.3">
      <c r="G844" s="98"/>
    </row>
    <row r="845" spans="7:7" x14ac:dyDescent="0.3">
      <c r="G845" s="98"/>
    </row>
    <row r="846" spans="7:7" x14ac:dyDescent="0.3">
      <c r="G846" s="98"/>
    </row>
    <row r="847" spans="7:7" x14ac:dyDescent="0.3">
      <c r="G847" s="98"/>
    </row>
    <row r="848" spans="7:7" x14ac:dyDescent="0.3">
      <c r="G848" s="98"/>
    </row>
    <row r="849" spans="7:7" x14ac:dyDescent="0.3">
      <c r="G849" s="98"/>
    </row>
    <row r="850" spans="7:7" x14ac:dyDescent="0.3">
      <c r="G850" s="98"/>
    </row>
    <row r="851" spans="7:7" x14ac:dyDescent="0.3">
      <c r="G851" s="98"/>
    </row>
    <row r="852" spans="7:7" x14ac:dyDescent="0.3">
      <c r="G852" s="98"/>
    </row>
    <row r="853" spans="7:7" x14ac:dyDescent="0.3">
      <c r="G853" s="98"/>
    </row>
    <row r="854" spans="7:7" x14ac:dyDescent="0.3">
      <c r="G854" s="98"/>
    </row>
    <row r="855" spans="7:7" x14ac:dyDescent="0.3">
      <c r="G855" s="98"/>
    </row>
    <row r="856" spans="7:7" x14ac:dyDescent="0.3">
      <c r="G856" s="98"/>
    </row>
    <row r="857" spans="7:7" x14ac:dyDescent="0.3">
      <c r="G857" s="98"/>
    </row>
    <row r="858" spans="7:7" x14ac:dyDescent="0.3">
      <c r="G858" s="98"/>
    </row>
    <row r="859" spans="7:7" x14ac:dyDescent="0.3">
      <c r="G859" s="98"/>
    </row>
    <row r="860" spans="7:7" x14ac:dyDescent="0.3">
      <c r="G860" s="98"/>
    </row>
    <row r="861" spans="7:7" x14ac:dyDescent="0.3">
      <c r="G861" s="98"/>
    </row>
    <row r="862" spans="7:7" x14ac:dyDescent="0.3">
      <c r="G862" s="98"/>
    </row>
    <row r="863" spans="7:7" x14ac:dyDescent="0.3">
      <c r="G863" s="98"/>
    </row>
    <row r="864" spans="7:7" x14ac:dyDescent="0.3">
      <c r="G864" s="98"/>
    </row>
    <row r="865" spans="7:7" x14ac:dyDescent="0.3">
      <c r="G865" s="98"/>
    </row>
    <row r="866" spans="7:7" x14ac:dyDescent="0.3">
      <c r="G866" s="98"/>
    </row>
    <row r="867" spans="7:7" x14ac:dyDescent="0.3">
      <c r="G867" s="98"/>
    </row>
    <row r="868" spans="7:7" x14ac:dyDescent="0.3">
      <c r="G868" s="98"/>
    </row>
    <row r="869" spans="7:7" x14ac:dyDescent="0.3">
      <c r="G869" s="98"/>
    </row>
    <row r="870" spans="7:7" x14ac:dyDescent="0.3">
      <c r="G870" s="98"/>
    </row>
    <row r="871" spans="7:7" x14ac:dyDescent="0.3">
      <c r="G871" s="98"/>
    </row>
    <row r="872" spans="7:7" x14ac:dyDescent="0.3">
      <c r="G872" s="98"/>
    </row>
    <row r="873" spans="7:7" x14ac:dyDescent="0.3">
      <c r="G873" s="98"/>
    </row>
    <row r="874" spans="7:7" x14ac:dyDescent="0.3">
      <c r="G874" s="98"/>
    </row>
    <row r="875" spans="7:7" x14ac:dyDescent="0.3">
      <c r="G875" s="98"/>
    </row>
    <row r="876" spans="7:7" x14ac:dyDescent="0.3">
      <c r="G876" s="98"/>
    </row>
    <row r="877" spans="7:7" x14ac:dyDescent="0.3">
      <c r="G877" s="98"/>
    </row>
    <row r="878" spans="7:7" x14ac:dyDescent="0.3">
      <c r="G878" s="98"/>
    </row>
    <row r="879" spans="7:7" x14ac:dyDescent="0.3">
      <c r="G879" s="98"/>
    </row>
    <row r="880" spans="7:7" x14ac:dyDescent="0.3">
      <c r="G880" s="98"/>
    </row>
    <row r="881" spans="7:7" x14ac:dyDescent="0.3">
      <c r="G881" s="98"/>
    </row>
    <row r="882" spans="7:7" x14ac:dyDescent="0.3">
      <c r="G882" s="98"/>
    </row>
    <row r="883" spans="7:7" x14ac:dyDescent="0.3">
      <c r="G883" s="98"/>
    </row>
    <row r="884" spans="7:7" x14ac:dyDescent="0.3">
      <c r="G884" s="98"/>
    </row>
    <row r="885" spans="7:7" x14ac:dyDescent="0.3">
      <c r="G885" s="98"/>
    </row>
    <row r="886" spans="7:7" x14ac:dyDescent="0.3">
      <c r="G886" s="98"/>
    </row>
    <row r="887" spans="7:7" x14ac:dyDescent="0.3">
      <c r="G887" s="98"/>
    </row>
    <row r="888" spans="7:7" x14ac:dyDescent="0.3">
      <c r="G888" s="98"/>
    </row>
    <row r="889" spans="7:7" x14ac:dyDescent="0.3">
      <c r="G889" s="98"/>
    </row>
    <row r="890" spans="7:7" x14ac:dyDescent="0.3">
      <c r="G890" s="98"/>
    </row>
    <row r="891" spans="7:7" x14ac:dyDescent="0.3">
      <c r="G891" s="98"/>
    </row>
    <row r="892" spans="7:7" x14ac:dyDescent="0.3">
      <c r="G892" s="98"/>
    </row>
    <row r="893" spans="7:7" x14ac:dyDescent="0.3">
      <c r="G893" s="98"/>
    </row>
    <row r="894" spans="7:7" x14ac:dyDescent="0.3">
      <c r="G894" s="98"/>
    </row>
    <row r="895" spans="7:7" x14ac:dyDescent="0.3">
      <c r="G895" s="98"/>
    </row>
    <row r="896" spans="7:7" x14ac:dyDescent="0.3">
      <c r="G896" s="98"/>
    </row>
    <row r="897" spans="7:7" x14ac:dyDescent="0.3">
      <c r="G897" s="98"/>
    </row>
    <row r="898" spans="7:7" x14ac:dyDescent="0.3">
      <c r="G898" s="98"/>
    </row>
    <row r="899" spans="7:7" x14ac:dyDescent="0.3">
      <c r="G899" s="98"/>
    </row>
    <row r="900" spans="7:7" x14ac:dyDescent="0.3">
      <c r="G900" s="98"/>
    </row>
    <row r="901" spans="7:7" x14ac:dyDescent="0.3">
      <c r="G901" s="98"/>
    </row>
    <row r="902" spans="7:7" x14ac:dyDescent="0.3">
      <c r="G902" s="98"/>
    </row>
    <row r="903" spans="7:7" x14ac:dyDescent="0.3">
      <c r="G903" s="98"/>
    </row>
    <row r="904" spans="7:7" x14ac:dyDescent="0.3">
      <c r="G904" s="98"/>
    </row>
    <row r="905" spans="7:7" x14ac:dyDescent="0.3">
      <c r="G905" s="98"/>
    </row>
    <row r="906" spans="7:7" x14ac:dyDescent="0.3">
      <c r="G906" s="98"/>
    </row>
    <row r="907" spans="7:7" x14ac:dyDescent="0.3">
      <c r="G907" s="98"/>
    </row>
    <row r="908" spans="7:7" x14ac:dyDescent="0.3">
      <c r="G908" s="98"/>
    </row>
    <row r="909" spans="7:7" x14ac:dyDescent="0.3">
      <c r="G909" s="98"/>
    </row>
    <row r="910" spans="7:7" x14ac:dyDescent="0.3">
      <c r="G910" s="98"/>
    </row>
    <row r="911" spans="7:7" x14ac:dyDescent="0.3">
      <c r="G911" s="98"/>
    </row>
    <row r="912" spans="7:7" x14ac:dyDescent="0.3">
      <c r="G912" s="98"/>
    </row>
    <row r="913" spans="7:7" x14ac:dyDescent="0.3">
      <c r="G913" s="98"/>
    </row>
    <row r="914" spans="7:7" x14ac:dyDescent="0.3">
      <c r="G914" s="98"/>
    </row>
    <row r="915" spans="7:7" x14ac:dyDescent="0.3">
      <c r="G915" s="98"/>
    </row>
    <row r="916" spans="7:7" x14ac:dyDescent="0.3">
      <c r="G916" s="98"/>
    </row>
    <row r="917" spans="7:7" x14ac:dyDescent="0.3">
      <c r="G917" s="98"/>
    </row>
    <row r="918" spans="7:7" x14ac:dyDescent="0.3">
      <c r="G918" s="98"/>
    </row>
    <row r="919" spans="7:7" x14ac:dyDescent="0.3">
      <c r="G919" s="98"/>
    </row>
    <row r="920" spans="7:7" x14ac:dyDescent="0.3">
      <c r="G920" s="98"/>
    </row>
    <row r="921" spans="7:7" x14ac:dyDescent="0.3">
      <c r="G921" s="98"/>
    </row>
    <row r="922" spans="7:7" x14ac:dyDescent="0.3">
      <c r="G922" s="98"/>
    </row>
    <row r="923" spans="7:7" x14ac:dyDescent="0.3">
      <c r="G923" s="98"/>
    </row>
    <row r="924" spans="7:7" x14ac:dyDescent="0.3">
      <c r="G924" s="98"/>
    </row>
    <row r="925" spans="7:7" x14ac:dyDescent="0.3">
      <c r="G925" s="98"/>
    </row>
    <row r="926" spans="7:7" x14ac:dyDescent="0.3">
      <c r="G926" s="98"/>
    </row>
    <row r="927" spans="7:7" x14ac:dyDescent="0.3">
      <c r="G927" s="98"/>
    </row>
    <row r="928" spans="7:7" x14ac:dyDescent="0.3">
      <c r="G928" s="98"/>
    </row>
    <row r="929" spans="7:7" x14ac:dyDescent="0.3">
      <c r="G929" s="98"/>
    </row>
    <row r="930" spans="7:7" x14ac:dyDescent="0.3">
      <c r="G930" s="98"/>
    </row>
    <row r="931" spans="7:7" x14ac:dyDescent="0.3">
      <c r="G931" s="98"/>
    </row>
    <row r="932" spans="7:7" x14ac:dyDescent="0.3">
      <c r="G932" s="98"/>
    </row>
    <row r="933" spans="7:7" x14ac:dyDescent="0.3">
      <c r="G933" s="98"/>
    </row>
    <row r="934" spans="7:7" x14ac:dyDescent="0.3">
      <c r="G934" s="98"/>
    </row>
    <row r="935" spans="7:7" x14ac:dyDescent="0.3">
      <c r="G935" s="98"/>
    </row>
    <row r="936" spans="7:7" x14ac:dyDescent="0.3">
      <c r="G936" s="98"/>
    </row>
    <row r="937" spans="7:7" x14ac:dyDescent="0.3">
      <c r="G937" s="98"/>
    </row>
    <row r="938" spans="7:7" x14ac:dyDescent="0.3">
      <c r="G938" s="98"/>
    </row>
    <row r="939" spans="7:7" x14ac:dyDescent="0.3">
      <c r="G939" s="98"/>
    </row>
    <row r="940" spans="7:7" x14ac:dyDescent="0.3">
      <c r="G940" s="98"/>
    </row>
    <row r="941" spans="7:7" x14ac:dyDescent="0.3">
      <c r="G941" s="98"/>
    </row>
    <row r="942" spans="7:7" x14ac:dyDescent="0.3">
      <c r="G942" s="98"/>
    </row>
    <row r="943" spans="7:7" x14ac:dyDescent="0.3">
      <c r="G943" s="98"/>
    </row>
    <row r="944" spans="7:7" x14ac:dyDescent="0.3">
      <c r="G944" s="98"/>
    </row>
    <row r="945" spans="7:7" x14ac:dyDescent="0.3">
      <c r="G945" s="98"/>
    </row>
    <row r="946" spans="7:7" x14ac:dyDescent="0.3">
      <c r="G946" s="98"/>
    </row>
    <row r="947" spans="7:7" x14ac:dyDescent="0.3">
      <c r="G947" s="98"/>
    </row>
    <row r="948" spans="7:7" x14ac:dyDescent="0.3">
      <c r="G948" s="98"/>
    </row>
    <row r="949" spans="7:7" x14ac:dyDescent="0.3">
      <c r="G949" s="98"/>
    </row>
    <row r="950" spans="7:7" x14ac:dyDescent="0.3">
      <c r="G950" s="98"/>
    </row>
    <row r="951" spans="7:7" x14ac:dyDescent="0.3">
      <c r="G951" s="98"/>
    </row>
    <row r="952" spans="7:7" x14ac:dyDescent="0.3">
      <c r="G952" s="98"/>
    </row>
    <row r="953" spans="7:7" x14ac:dyDescent="0.3">
      <c r="G953" s="98"/>
    </row>
    <row r="954" spans="7:7" x14ac:dyDescent="0.3">
      <c r="G954" s="98"/>
    </row>
    <row r="955" spans="7:7" x14ac:dyDescent="0.3">
      <c r="G955" s="98"/>
    </row>
    <row r="956" spans="7:7" x14ac:dyDescent="0.3">
      <c r="G956" s="98"/>
    </row>
    <row r="957" spans="7:7" x14ac:dyDescent="0.3">
      <c r="G957" s="98"/>
    </row>
    <row r="958" spans="7:7" x14ac:dyDescent="0.3">
      <c r="G958" s="98"/>
    </row>
    <row r="959" spans="7:7" x14ac:dyDescent="0.3">
      <c r="G959" s="98"/>
    </row>
    <row r="960" spans="7:7" x14ac:dyDescent="0.3">
      <c r="G960" s="98"/>
    </row>
    <row r="961" spans="7:7" x14ac:dyDescent="0.3">
      <c r="G961" s="98"/>
    </row>
    <row r="962" spans="7:7" x14ac:dyDescent="0.3">
      <c r="G962" s="98"/>
    </row>
    <row r="963" spans="7:7" x14ac:dyDescent="0.3">
      <c r="G963" s="98"/>
    </row>
    <row r="964" spans="7:7" x14ac:dyDescent="0.3">
      <c r="G964" s="98"/>
    </row>
    <row r="965" spans="7:7" x14ac:dyDescent="0.3">
      <c r="G965" s="98"/>
    </row>
    <row r="966" spans="7:7" x14ac:dyDescent="0.3">
      <c r="G966" s="98"/>
    </row>
    <row r="967" spans="7:7" x14ac:dyDescent="0.3">
      <c r="G967" s="98"/>
    </row>
    <row r="968" spans="7:7" x14ac:dyDescent="0.3">
      <c r="G968" s="98"/>
    </row>
    <row r="969" spans="7:7" x14ac:dyDescent="0.3">
      <c r="G969" s="98"/>
    </row>
    <row r="970" spans="7:7" x14ac:dyDescent="0.3">
      <c r="G970" s="98"/>
    </row>
    <row r="971" spans="7:7" x14ac:dyDescent="0.3">
      <c r="G971" s="98"/>
    </row>
    <row r="972" spans="7:7" x14ac:dyDescent="0.3">
      <c r="G972" s="98"/>
    </row>
    <row r="973" spans="7:7" x14ac:dyDescent="0.3">
      <c r="G973" s="98"/>
    </row>
    <row r="974" spans="7:7" x14ac:dyDescent="0.3">
      <c r="G974" s="98"/>
    </row>
    <row r="975" spans="7:7" x14ac:dyDescent="0.3">
      <c r="G975" s="98"/>
    </row>
    <row r="976" spans="7:7" x14ac:dyDescent="0.3">
      <c r="G976" s="98"/>
    </row>
    <row r="977" spans="7:7" x14ac:dyDescent="0.3">
      <c r="G977" s="98"/>
    </row>
    <row r="978" spans="7:7" x14ac:dyDescent="0.3">
      <c r="G978" s="98"/>
    </row>
    <row r="979" spans="7:7" x14ac:dyDescent="0.3">
      <c r="G979" s="98"/>
    </row>
    <row r="980" spans="7:7" x14ac:dyDescent="0.3">
      <c r="G980" s="98"/>
    </row>
    <row r="981" spans="7:7" x14ac:dyDescent="0.3">
      <c r="G981" s="98"/>
    </row>
    <row r="982" spans="7:7" x14ac:dyDescent="0.3">
      <c r="G982" s="98"/>
    </row>
    <row r="983" spans="7:7" x14ac:dyDescent="0.3">
      <c r="G983" s="98"/>
    </row>
    <row r="984" spans="7:7" x14ac:dyDescent="0.3">
      <c r="G984" s="98"/>
    </row>
    <row r="985" spans="7:7" x14ac:dyDescent="0.3">
      <c r="G985" s="98"/>
    </row>
    <row r="986" spans="7:7" x14ac:dyDescent="0.3">
      <c r="G986" s="98"/>
    </row>
    <row r="987" spans="7:7" x14ac:dyDescent="0.3">
      <c r="G987" s="98"/>
    </row>
    <row r="988" spans="7:7" x14ac:dyDescent="0.3">
      <c r="G988" s="98"/>
    </row>
    <row r="989" spans="7:7" x14ac:dyDescent="0.3">
      <c r="G989" s="98"/>
    </row>
    <row r="990" spans="7:7" x14ac:dyDescent="0.3">
      <c r="G990" s="98"/>
    </row>
    <row r="991" spans="7:7" x14ac:dyDescent="0.3">
      <c r="G991" s="98"/>
    </row>
    <row r="992" spans="7:7" x14ac:dyDescent="0.3">
      <c r="G992" s="98"/>
    </row>
    <row r="993" spans="7:7" x14ac:dyDescent="0.3">
      <c r="G993" s="98"/>
    </row>
    <row r="994" spans="7:7" x14ac:dyDescent="0.3">
      <c r="G994" s="98"/>
    </row>
    <row r="995" spans="7:7" x14ac:dyDescent="0.3">
      <c r="G995" s="98"/>
    </row>
    <row r="996" spans="7:7" x14ac:dyDescent="0.3">
      <c r="G996" s="98"/>
    </row>
    <row r="997" spans="7:7" x14ac:dyDescent="0.3">
      <c r="G997" s="98"/>
    </row>
    <row r="998" spans="7:7" x14ac:dyDescent="0.3">
      <c r="G998" s="98"/>
    </row>
    <row r="999" spans="7:7" x14ac:dyDescent="0.3">
      <c r="G999" s="98"/>
    </row>
    <row r="1000" spans="7:7" x14ac:dyDescent="0.3">
      <c r="G1000" s="98"/>
    </row>
    <row r="1001" spans="7:7" x14ac:dyDescent="0.3">
      <c r="G1001" s="98"/>
    </row>
    <row r="1002" spans="7:7" x14ac:dyDescent="0.3">
      <c r="G1002" s="98"/>
    </row>
    <row r="1003" spans="7:7" x14ac:dyDescent="0.3">
      <c r="G1003" s="98"/>
    </row>
    <row r="1004" spans="7:7" x14ac:dyDescent="0.3">
      <c r="G1004" s="98"/>
    </row>
    <row r="1005" spans="7:7" x14ac:dyDescent="0.3">
      <c r="G1005" s="98"/>
    </row>
    <row r="1006" spans="7:7" x14ac:dyDescent="0.3">
      <c r="G1006" s="98"/>
    </row>
    <row r="1007" spans="7:7" x14ac:dyDescent="0.3">
      <c r="G1007" s="98"/>
    </row>
    <row r="1008" spans="7:7" x14ac:dyDescent="0.3">
      <c r="G1008" s="98"/>
    </row>
    <row r="1009" spans="7:7" x14ac:dyDescent="0.3">
      <c r="G1009" s="98"/>
    </row>
    <row r="1010" spans="7:7" x14ac:dyDescent="0.3">
      <c r="G1010" s="98"/>
    </row>
    <row r="1011" spans="7:7" x14ac:dyDescent="0.3">
      <c r="G1011" s="98"/>
    </row>
    <row r="1012" spans="7:7" x14ac:dyDescent="0.3">
      <c r="G1012" s="98"/>
    </row>
    <row r="1013" spans="7:7" x14ac:dyDescent="0.3">
      <c r="G1013" s="98"/>
    </row>
    <row r="1014" spans="7:7" x14ac:dyDescent="0.3">
      <c r="G1014" s="98"/>
    </row>
    <row r="1015" spans="7:7" x14ac:dyDescent="0.3">
      <c r="G1015" s="98"/>
    </row>
    <row r="1016" spans="7:7" x14ac:dyDescent="0.3">
      <c r="G1016" s="98"/>
    </row>
    <row r="1017" spans="7:7" x14ac:dyDescent="0.3">
      <c r="G1017" s="98"/>
    </row>
    <row r="1018" spans="7:7" x14ac:dyDescent="0.3">
      <c r="G1018" s="98"/>
    </row>
    <row r="1019" spans="7:7" x14ac:dyDescent="0.3">
      <c r="G1019" s="98"/>
    </row>
    <row r="1020" spans="7:7" x14ac:dyDescent="0.3">
      <c r="G1020" s="98"/>
    </row>
    <row r="1021" spans="7:7" x14ac:dyDescent="0.3">
      <c r="G1021" s="98"/>
    </row>
    <row r="1022" spans="7:7" x14ac:dyDescent="0.3">
      <c r="G1022" s="98"/>
    </row>
    <row r="1023" spans="7:7" x14ac:dyDescent="0.3">
      <c r="G1023" s="98"/>
    </row>
    <row r="1024" spans="7:7" x14ac:dyDescent="0.3">
      <c r="G1024" s="98"/>
    </row>
    <row r="1025" spans="7:7" x14ac:dyDescent="0.3">
      <c r="G1025" s="98"/>
    </row>
    <row r="1026" spans="7:7" x14ac:dyDescent="0.3">
      <c r="G1026" s="98"/>
    </row>
    <row r="1027" spans="7:7" x14ac:dyDescent="0.3">
      <c r="G1027" s="98"/>
    </row>
    <row r="1028" spans="7:7" x14ac:dyDescent="0.3">
      <c r="G1028" s="98"/>
    </row>
    <row r="1029" spans="7:7" x14ac:dyDescent="0.3">
      <c r="G1029" s="98"/>
    </row>
    <row r="1030" spans="7:7" x14ac:dyDescent="0.3">
      <c r="G1030" s="98"/>
    </row>
    <row r="1031" spans="7:7" x14ac:dyDescent="0.3">
      <c r="G1031" s="98"/>
    </row>
    <row r="1032" spans="7:7" x14ac:dyDescent="0.3">
      <c r="G1032" s="98"/>
    </row>
    <row r="1033" spans="7:7" x14ac:dyDescent="0.3">
      <c r="G1033" s="98"/>
    </row>
    <row r="1034" spans="7:7" x14ac:dyDescent="0.3">
      <c r="G1034" s="98"/>
    </row>
    <row r="1035" spans="7:7" x14ac:dyDescent="0.3">
      <c r="G1035" s="98"/>
    </row>
    <row r="1036" spans="7:7" x14ac:dyDescent="0.3">
      <c r="G1036" s="98"/>
    </row>
    <row r="1037" spans="7:7" x14ac:dyDescent="0.3">
      <c r="G1037" s="98"/>
    </row>
    <row r="1038" spans="7:7" x14ac:dyDescent="0.3">
      <c r="G1038" s="98"/>
    </row>
    <row r="1039" spans="7:7" x14ac:dyDescent="0.3">
      <c r="G1039" s="98"/>
    </row>
    <row r="1040" spans="7:7" x14ac:dyDescent="0.3">
      <c r="G1040" s="98"/>
    </row>
    <row r="1041" spans="7:7" x14ac:dyDescent="0.3">
      <c r="G1041" s="98"/>
    </row>
    <row r="1042" spans="7:7" x14ac:dyDescent="0.3">
      <c r="G1042" s="98"/>
    </row>
    <row r="1043" spans="7:7" x14ac:dyDescent="0.3">
      <c r="G1043" s="98"/>
    </row>
    <row r="1044" spans="7:7" x14ac:dyDescent="0.3">
      <c r="G1044" s="98"/>
    </row>
    <row r="1045" spans="7:7" x14ac:dyDescent="0.3">
      <c r="G1045" s="98"/>
    </row>
    <row r="1046" spans="7:7" x14ac:dyDescent="0.3">
      <c r="G1046" s="98"/>
    </row>
    <row r="1047" spans="7:7" x14ac:dyDescent="0.3">
      <c r="G1047" s="98"/>
    </row>
    <row r="1048" spans="7:7" x14ac:dyDescent="0.3">
      <c r="G1048" s="98"/>
    </row>
    <row r="1049" spans="7:7" x14ac:dyDescent="0.3">
      <c r="G1049" s="98"/>
    </row>
    <row r="1050" spans="7:7" x14ac:dyDescent="0.3">
      <c r="G1050" s="98"/>
    </row>
    <row r="1051" spans="7:7" x14ac:dyDescent="0.3">
      <c r="G1051" s="98"/>
    </row>
    <row r="1052" spans="7:7" x14ac:dyDescent="0.3">
      <c r="G1052" s="98"/>
    </row>
    <row r="1053" spans="7:7" x14ac:dyDescent="0.3">
      <c r="G1053" s="98"/>
    </row>
    <row r="1054" spans="7:7" x14ac:dyDescent="0.3">
      <c r="G1054" s="98"/>
    </row>
    <row r="1055" spans="7:7" x14ac:dyDescent="0.3">
      <c r="G1055" s="98"/>
    </row>
    <row r="1056" spans="7:7" x14ac:dyDescent="0.3">
      <c r="G1056" s="98"/>
    </row>
    <row r="1057" spans="7:7" x14ac:dyDescent="0.3">
      <c r="G1057" s="98"/>
    </row>
    <row r="1058" spans="7:7" x14ac:dyDescent="0.3">
      <c r="G1058" s="98"/>
    </row>
    <row r="1059" spans="7:7" x14ac:dyDescent="0.3">
      <c r="G1059" s="98"/>
    </row>
    <row r="1060" spans="7:7" x14ac:dyDescent="0.3">
      <c r="G1060" s="98"/>
    </row>
    <row r="1061" spans="7:7" x14ac:dyDescent="0.3">
      <c r="G1061" s="98"/>
    </row>
    <row r="1062" spans="7:7" x14ac:dyDescent="0.3">
      <c r="G1062" s="98"/>
    </row>
    <row r="1063" spans="7:7" x14ac:dyDescent="0.3">
      <c r="G1063" s="98"/>
    </row>
    <row r="1064" spans="7:7" x14ac:dyDescent="0.3">
      <c r="G1064" s="98"/>
    </row>
    <row r="1065" spans="7:7" x14ac:dyDescent="0.3">
      <c r="G1065" s="98"/>
    </row>
    <row r="1066" spans="7:7" x14ac:dyDescent="0.3">
      <c r="G1066" s="98"/>
    </row>
    <row r="1067" spans="7:7" x14ac:dyDescent="0.3">
      <c r="G1067" s="98"/>
    </row>
    <row r="1068" spans="7:7" x14ac:dyDescent="0.3">
      <c r="G1068" s="98"/>
    </row>
    <row r="1069" spans="7:7" x14ac:dyDescent="0.3">
      <c r="G1069" s="98"/>
    </row>
    <row r="1070" spans="7:7" x14ac:dyDescent="0.3">
      <c r="G1070" s="98"/>
    </row>
    <row r="1071" spans="7:7" x14ac:dyDescent="0.3">
      <c r="G1071" s="98"/>
    </row>
    <row r="1072" spans="7:7" x14ac:dyDescent="0.3">
      <c r="G1072" s="98"/>
    </row>
    <row r="1073" spans="7:7" x14ac:dyDescent="0.3">
      <c r="G1073" s="98"/>
    </row>
    <row r="1074" spans="7:7" x14ac:dyDescent="0.3">
      <c r="G1074" s="98"/>
    </row>
    <row r="1075" spans="7:7" x14ac:dyDescent="0.3">
      <c r="G1075" s="98"/>
    </row>
    <row r="1076" spans="7:7" x14ac:dyDescent="0.3">
      <c r="G1076" s="98"/>
    </row>
    <row r="1077" spans="7:7" x14ac:dyDescent="0.3">
      <c r="G1077" s="98"/>
    </row>
    <row r="1078" spans="7:7" x14ac:dyDescent="0.3">
      <c r="G1078" s="98"/>
    </row>
    <row r="1079" spans="7:7" x14ac:dyDescent="0.3">
      <c r="G1079" s="98"/>
    </row>
    <row r="1080" spans="7:7" x14ac:dyDescent="0.3">
      <c r="G1080" s="98"/>
    </row>
    <row r="1081" spans="7:7" x14ac:dyDescent="0.3">
      <c r="G1081" s="98"/>
    </row>
    <row r="1082" spans="7:7" x14ac:dyDescent="0.3">
      <c r="G1082" s="98"/>
    </row>
    <row r="1083" spans="7:7" x14ac:dyDescent="0.3">
      <c r="G1083" s="98"/>
    </row>
    <row r="1084" spans="7:7" x14ac:dyDescent="0.3">
      <c r="G1084" s="98"/>
    </row>
    <row r="1085" spans="7:7" x14ac:dyDescent="0.3">
      <c r="G1085" s="98"/>
    </row>
    <row r="1086" spans="7:7" x14ac:dyDescent="0.3">
      <c r="G1086" s="98"/>
    </row>
    <row r="1087" spans="7:7" x14ac:dyDescent="0.3">
      <c r="G1087" s="98"/>
    </row>
    <row r="1088" spans="7:7" x14ac:dyDescent="0.3">
      <c r="G1088" s="98"/>
    </row>
    <row r="1089" spans="7:7" x14ac:dyDescent="0.3">
      <c r="G1089" s="98"/>
    </row>
    <row r="1090" spans="7:7" x14ac:dyDescent="0.3">
      <c r="G1090" s="98"/>
    </row>
    <row r="1091" spans="7:7" x14ac:dyDescent="0.3">
      <c r="G1091" s="98"/>
    </row>
    <row r="1092" spans="7:7" x14ac:dyDescent="0.3">
      <c r="G1092" s="98"/>
    </row>
    <row r="1093" spans="7:7" x14ac:dyDescent="0.3">
      <c r="G1093" s="98"/>
    </row>
    <row r="1094" spans="7:7" x14ac:dyDescent="0.3">
      <c r="G1094" s="98"/>
    </row>
    <row r="1095" spans="7:7" x14ac:dyDescent="0.3">
      <c r="G1095" s="98"/>
    </row>
    <row r="1096" spans="7:7" x14ac:dyDescent="0.3">
      <c r="G1096" s="98"/>
    </row>
    <row r="1097" spans="7:7" x14ac:dyDescent="0.3">
      <c r="G1097" s="98"/>
    </row>
    <row r="1098" spans="7:7" x14ac:dyDescent="0.3">
      <c r="G1098" s="98"/>
    </row>
    <row r="1099" spans="7:7" x14ac:dyDescent="0.3">
      <c r="G1099" s="98"/>
    </row>
    <row r="1100" spans="7:7" x14ac:dyDescent="0.3">
      <c r="G1100" s="98"/>
    </row>
    <row r="1101" spans="7:7" x14ac:dyDescent="0.3">
      <c r="G1101" s="98"/>
    </row>
    <row r="1102" spans="7:7" x14ac:dyDescent="0.3">
      <c r="G1102" s="98"/>
    </row>
    <row r="1103" spans="7:7" x14ac:dyDescent="0.3">
      <c r="G1103" s="98"/>
    </row>
    <row r="1104" spans="7:7" x14ac:dyDescent="0.3">
      <c r="G1104" s="98"/>
    </row>
    <row r="1105" spans="7:7" x14ac:dyDescent="0.3">
      <c r="G1105" s="98"/>
    </row>
    <row r="1106" spans="7:7" x14ac:dyDescent="0.3">
      <c r="G1106" s="98"/>
    </row>
    <row r="1107" spans="7:7" x14ac:dyDescent="0.3">
      <c r="G1107" s="98"/>
    </row>
    <row r="1108" spans="7:7" x14ac:dyDescent="0.3">
      <c r="G1108" s="98"/>
    </row>
    <row r="1109" spans="7:7" x14ac:dyDescent="0.3">
      <c r="G1109" s="98"/>
    </row>
    <row r="1110" spans="7:7" x14ac:dyDescent="0.3">
      <c r="G1110" s="98"/>
    </row>
    <row r="1111" spans="7:7" x14ac:dyDescent="0.3">
      <c r="G1111" s="98"/>
    </row>
    <row r="1112" spans="7:7" x14ac:dyDescent="0.3">
      <c r="G1112" s="98"/>
    </row>
    <row r="1113" spans="7:7" x14ac:dyDescent="0.3">
      <c r="G1113" s="98"/>
    </row>
    <row r="1114" spans="7:7" x14ac:dyDescent="0.3">
      <c r="G1114" s="98"/>
    </row>
    <row r="1115" spans="7:7" x14ac:dyDescent="0.3">
      <c r="G1115" s="98"/>
    </row>
    <row r="1116" spans="7:7" x14ac:dyDescent="0.3">
      <c r="G1116" s="98"/>
    </row>
    <row r="1117" spans="7:7" x14ac:dyDescent="0.3">
      <c r="G1117" s="98"/>
    </row>
    <row r="1118" spans="7:7" x14ac:dyDescent="0.3">
      <c r="G1118" s="98"/>
    </row>
    <row r="1119" spans="7:7" x14ac:dyDescent="0.3">
      <c r="G1119" s="98"/>
    </row>
    <row r="1120" spans="7:7" x14ac:dyDescent="0.3">
      <c r="G1120" s="98"/>
    </row>
    <row r="1121" spans="7:7" x14ac:dyDescent="0.3">
      <c r="G1121" s="98"/>
    </row>
    <row r="1122" spans="7:7" x14ac:dyDescent="0.3">
      <c r="G1122" s="98"/>
    </row>
    <row r="1123" spans="7:7" x14ac:dyDescent="0.3">
      <c r="G1123" s="98"/>
    </row>
    <row r="1124" spans="7:7" x14ac:dyDescent="0.3">
      <c r="G1124" s="98"/>
    </row>
    <row r="1125" spans="7:7" x14ac:dyDescent="0.3">
      <c r="G1125" s="98"/>
    </row>
    <row r="1126" spans="7:7" x14ac:dyDescent="0.3">
      <c r="G1126" s="98"/>
    </row>
    <row r="1127" spans="7:7" x14ac:dyDescent="0.3">
      <c r="G1127" s="98"/>
    </row>
    <row r="1128" spans="7:7" x14ac:dyDescent="0.3">
      <c r="G1128" s="98"/>
    </row>
    <row r="1129" spans="7:7" x14ac:dyDescent="0.3">
      <c r="G1129" s="98"/>
    </row>
    <row r="1130" spans="7:7" x14ac:dyDescent="0.3">
      <c r="G1130" s="98"/>
    </row>
    <row r="1131" spans="7:7" x14ac:dyDescent="0.3">
      <c r="G1131" s="98"/>
    </row>
    <row r="1132" spans="7:7" x14ac:dyDescent="0.3">
      <c r="G1132" s="98"/>
    </row>
    <row r="1133" spans="7:7" x14ac:dyDescent="0.3">
      <c r="G1133" s="98"/>
    </row>
    <row r="1134" spans="7:7" x14ac:dyDescent="0.3">
      <c r="G1134" s="98"/>
    </row>
    <row r="1135" spans="7:7" x14ac:dyDescent="0.3">
      <c r="G1135" s="98"/>
    </row>
    <row r="1136" spans="7:7" x14ac:dyDescent="0.3">
      <c r="G1136" s="98"/>
    </row>
    <row r="1137" spans="7:7" x14ac:dyDescent="0.3">
      <c r="G1137" s="98"/>
    </row>
    <row r="1138" spans="7:7" x14ac:dyDescent="0.3">
      <c r="G1138" s="98"/>
    </row>
    <row r="1139" spans="7:7" x14ac:dyDescent="0.3">
      <c r="G1139" s="98"/>
    </row>
    <row r="1140" spans="7:7" x14ac:dyDescent="0.3">
      <c r="G1140" s="98"/>
    </row>
    <row r="1141" spans="7:7" x14ac:dyDescent="0.3">
      <c r="G1141" s="98"/>
    </row>
    <row r="1142" spans="7:7" x14ac:dyDescent="0.3">
      <c r="G1142" s="98"/>
    </row>
    <row r="1143" spans="7:7" x14ac:dyDescent="0.3">
      <c r="G1143" s="98"/>
    </row>
    <row r="1144" spans="7:7" x14ac:dyDescent="0.3">
      <c r="G1144" s="98"/>
    </row>
    <row r="1145" spans="7:7" x14ac:dyDescent="0.3">
      <c r="G1145" s="98"/>
    </row>
    <row r="1146" spans="7:7" x14ac:dyDescent="0.3">
      <c r="G1146" s="98"/>
    </row>
    <row r="1147" spans="7:7" x14ac:dyDescent="0.3">
      <c r="G1147" s="98"/>
    </row>
    <row r="1148" spans="7:7" x14ac:dyDescent="0.3">
      <c r="G1148" s="98"/>
    </row>
    <row r="1149" spans="7:7" x14ac:dyDescent="0.3">
      <c r="G1149" s="98"/>
    </row>
    <row r="1150" spans="7:7" x14ac:dyDescent="0.3">
      <c r="G1150" s="98"/>
    </row>
    <row r="1151" spans="7:7" x14ac:dyDescent="0.3">
      <c r="G1151" s="98"/>
    </row>
    <row r="1152" spans="7:7" x14ac:dyDescent="0.3">
      <c r="G1152" s="98"/>
    </row>
    <row r="1153" spans="7:7" x14ac:dyDescent="0.3">
      <c r="G1153" s="98"/>
    </row>
    <row r="1154" spans="7:7" x14ac:dyDescent="0.3">
      <c r="G1154" s="98"/>
    </row>
    <row r="1155" spans="7:7" x14ac:dyDescent="0.3">
      <c r="G1155" s="98"/>
    </row>
    <row r="1156" spans="7:7" x14ac:dyDescent="0.3">
      <c r="G1156" s="98"/>
    </row>
    <row r="1157" spans="7:7" x14ac:dyDescent="0.3">
      <c r="G1157" s="98"/>
    </row>
    <row r="1158" spans="7:7" x14ac:dyDescent="0.3">
      <c r="G1158" s="98"/>
    </row>
    <row r="1159" spans="7:7" x14ac:dyDescent="0.3">
      <c r="G1159" s="98"/>
    </row>
    <row r="1160" spans="7:7" x14ac:dyDescent="0.3">
      <c r="G1160" s="98"/>
    </row>
    <row r="1161" spans="7:7" x14ac:dyDescent="0.3">
      <c r="G1161" s="98"/>
    </row>
    <row r="1162" spans="7:7" x14ac:dyDescent="0.3">
      <c r="G1162" s="98"/>
    </row>
    <row r="1163" spans="7:7" x14ac:dyDescent="0.3">
      <c r="G1163" s="98"/>
    </row>
    <row r="1164" spans="7:7" x14ac:dyDescent="0.3">
      <c r="G1164" s="98"/>
    </row>
    <row r="1165" spans="7:7" x14ac:dyDescent="0.3">
      <c r="G1165" s="98"/>
    </row>
    <row r="1166" spans="7:7" x14ac:dyDescent="0.3">
      <c r="G1166" s="98"/>
    </row>
    <row r="1167" spans="7:7" x14ac:dyDescent="0.3">
      <c r="G1167" s="98"/>
    </row>
    <row r="1168" spans="7:7" x14ac:dyDescent="0.3">
      <c r="G1168" s="98"/>
    </row>
    <row r="1169" spans="7:7" x14ac:dyDescent="0.3">
      <c r="G1169" s="98"/>
    </row>
    <row r="1170" spans="7:7" x14ac:dyDescent="0.3">
      <c r="G1170" s="98"/>
    </row>
    <row r="1171" spans="7:7" x14ac:dyDescent="0.3">
      <c r="G1171" s="98"/>
    </row>
    <row r="1172" spans="7:7" x14ac:dyDescent="0.3">
      <c r="G1172" s="98"/>
    </row>
    <row r="1173" spans="7:7" x14ac:dyDescent="0.3">
      <c r="G1173" s="98"/>
    </row>
    <row r="1174" spans="7:7" x14ac:dyDescent="0.3">
      <c r="G1174" s="98"/>
    </row>
    <row r="1175" spans="7:7" x14ac:dyDescent="0.3">
      <c r="G1175" s="98"/>
    </row>
    <row r="1176" spans="7:7" x14ac:dyDescent="0.3">
      <c r="G1176" s="98"/>
    </row>
    <row r="1177" spans="7:7" x14ac:dyDescent="0.3">
      <c r="G1177" s="98"/>
    </row>
    <row r="1178" spans="7:7" x14ac:dyDescent="0.3">
      <c r="G1178" s="98"/>
    </row>
    <row r="1179" spans="7:7" x14ac:dyDescent="0.3">
      <c r="G1179" s="98"/>
    </row>
    <row r="1180" spans="7:7" x14ac:dyDescent="0.3">
      <c r="G1180" s="98"/>
    </row>
    <row r="1181" spans="7:7" x14ac:dyDescent="0.3">
      <c r="G1181" s="98"/>
    </row>
    <row r="1182" spans="7:7" x14ac:dyDescent="0.3">
      <c r="G1182" s="98"/>
    </row>
    <row r="1183" spans="7:7" x14ac:dyDescent="0.3">
      <c r="G1183" s="98"/>
    </row>
    <row r="1184" spans="7:7" x14ac:dyDescent="0.3">
      <c r="G1184" s="98"/>
    </row>
    <row r="1185" spans="7:7" x14ac:dyDescent="0.3">
      <c r="G1185" s="98"/>
    </row>
    <row r="1186" spans="7:7" x14ac:dyDescent="0.3">
      <c r="G1186" s="98"/>
    </row>
    <row r="1187" spans="7:7" x14ac:dyDescent="0.3">
      <c r="G1187" s="98"/>
    </row>
    <row r="1188" spans="7:7" x14ac:dyDescent="0.3">
      <c r="G1188" s="98"/>
    </row>
    <row r="1189" spans="7:7" x14ac:dyDescent="0.3">
      <c r="G1189" s="98"/>
    </row>
    <row r="1190" spans="7:7" x14ac:dyDescent="0.3">
      <c r="G1190" s="98"/>
    </row>
    <row r="1191" spans="7:7" x14ac:dyDescent="0.3">
      <c r="G1191" s="98"/>
    </row>
    <row r="1192" spans="7:7" x14ac:dyDescent="0.3">
      <c r="G1192" s="98"/>
    </row>
    <row r="1193" spans="7:7" x14ac:dyDescent="0.3">
      <c r="G1193" s="98"/>
    </row>
    <row r="1194" spans="7:7" x14ac:dyDescent="0.3">
      <c r="G1194" s="98"/>
    </row>
    <row r="1195" spans="7:7" x14ac:dyDescent="0.3">
      <c r="G1195" s="98"/>
    </row>
    <row r="1196" spans="7:7" x14ac:dyDescent="0.3">
      <c r="G1196" s="98"/>
    </row>
    <row r="1197" spans="7:7" x14ac:dyDescent="0.3">
      <c r="G1197" s="98"/>
    </row>
    <row r="1198" spans="7:7" x14ac:dyDescent="0.3">
      <c r="G1198" s="98"/>
    </row>
    <row r="1199" spans="7:7" x14ac:dyDescent="0.3">
      <c r="G1199" s="98"/>
    </row>
    <row r="1200" spans="7:7" x14ac:dyDescent="0.3">
      <c r="G1200" s="98"/>
    </row>
    <row r="1201" spans="7:7" x14ac:dyDescent="0.3">
      <c r="G1201" s="98"/>
    </row>
    <row r="1202" spans="7:7" x14ac:dyDescent="0.3">
      <c r="G1202" s="98"/>
    </row>
    <row r="1203" spans="7:7" x14ac:dyDescent="0.3">
      <c r="G1203" s="98"/>
    </row>
    <row r="1204" spans="7:7" x14ac:dyDescent="0.3">
      <c r="G1204" s="98"/>
    </row>
    <row r="1205" spans="7:7" x14ac:dyDescent="0.3">
      <c r="G1205" s="98"/>
    </row>
    <row r="1206" spans="7:7" x14ac:dyDescent="0.3">
      <c r="G1206" s="98"/>
    </row>
    <row r="1207" spans="7:7" x14ac:dyDescent="0.3">
      <c r="G1207" s="98"/>
    </row>
    <row r="1208" spans="7:7" x14ac:dyDescent="0.3">
      <c r="G1208" s="98"/>
    </row>
    <row r="1209" spans="7:7" x14ac:dyDescent="0.3">
      <c r="G1209" s="98"/>
    </row>
    <row r="1210" spans="7:7" x14ac:dyDescent="0.3">
      <c r="G1210" s="98"/>
    </row>
    <row r="1211" spans="7:7" x14ac:dyDescent="0.3">
      <c r="G1211" s="98"/>
    </row>
    <row r="1212" spans="7:7" x14ac:dyDescent="0.3">
      <c r="G1212" s="98"/>
    </row>
    <row r="1213" spans="7:7" x14ac:dyDescent="0.3">
      <c r="G1213" s="98"/>
    </row>
    <row r="1214" spans="7:7" x14ac:dyDescent="0.3">
      <c r="G1214" s="98"/>
    </row>
    <row r="1215" spans="7:7" x14ac:dyDescent="0.3">
      <c r="G1215" s="98"/>
    </row>
    <row r="1216" spans="7:7" x14ac:dyDescent="0.3">
      <c r="G1216" s="98"/>
    </row>
    <row r="1217" spans="7:7" x14ac:dyDescent="0.3">
      <c r="G1217" s="98"/>
    </row>
    <row r="1218" spans="7:7" x14ac:dyDescent="0.3">
      <c r="G1218" s="98"/>
    </row>
    <row r="1219" spans="7:7" x14ac:dyDescent="0.3">
      <c r="G1219" s="98"/>
    </row>
    <row r="1220" spans="7:7" x14ac:dyDescent="0.3">
      <c r="G1220" s="98"/>
    </row>
    <row r="1221" spans="7:7" x14ac:dyDescent="0.3">
      <c r="G1221" s="98"/>
    </row>
    <row r="1222" spans="7:7" x14ac:dyDescent="0.3">
      <c r="G1222" s="98"/>
    </row>
    <row r="1223" spans="7:7" x14ac:dyDescent="0.3">
      <c r="G1223" s="98"/>
    </row>
    <row r="1224" spans="7:7" x14ac:dyDescent="0.3">
      <c r="G1224" s="98"/>
    </row>
    <row r="1225" spans="7:7" x14ac:dyDescent="0.3">
      <c r="G1225" s="98"/>
    </row>
    <row r="1226" spans="7:7" x14ac:dyDescent="0.3">
      <c r="G1226" s="98"/>
    </row>
    <row r="1227" spans="7:7" x14ac:dyDescent="0.3">
      <c r="G1227" s="98"/>
    </row>
    <row r="1228" spans="7:7" x14ac:dyDescent="0.3">
      <c r="G1228" s="98"/>
    </row>
    <row r="1229" spans="7:7" x14ac:dyDescent="0.3">
      <c r="G1229" s="98"/>
    </row>
    <row r="1230" spans="7:7" x14ac:dyDescent="0.3">
      <c r="G1230" s="98"/>
    </row>
    <row r="1231" spans="7:7" x14ac:dyDescent="0.3">
      <c r="G1231" s="98"/>
    </row>
    <row r="1232" spans="7:7" x14ac:dyDescent="0.3">
      <c r="G1232" s="98"/>
    </row>
    <row r="1233" spans="7:7" x14ac:dyDescent="0.3">
      <c r="G1233" s="98"/>
    </row>
    <row r="1234" spans="7:7" x14ac:dyDescent="0.3">
      <c r="G1234" s="98"/>
    </row>
    <row r="1235" spans="7:7" x14ac:dyDescent="0.3">
      <c r="G1235" s="98"/>
    </row>
    <row r="1236" spans="7:7" x14ac:dyDescent="0.3">
      <c r="G1236" s="98"/>
    </row>
    <row r="1237" spans="7:7" x14ac:dyDescent="0.3">
      <c r="G1237" s="98"/>
    </row>
    <row r="1238" spans="7:7" x14ac:dyDescent="0.3">
      <c r="G1238" s="98"/>
    </row>
    <row r="1239" spans="7:7" x14ac:dyDescent="0.3">
      <c r="G1239" s="98"/>
    </row>
    <row r="1240" spans="7:7" x14ac:dyDescent="0.3">
      <c r="G1240" s="98"/>
    </row>
    <row r="1241" spans="7:7" x14ac:dyDescent="0.3">
      <c r="G1241" s="98"/>
    </row>
    <row r="1242" spans="7:7" x14ac:dyDescent="0.3">
      <c r="G1242" s="98"/>
    </row>
    <row r="1243" spans="7:7" x14ac:dyDescent="0.3">
      <c r="G1243" s="98"/>
    </row>
    <row r="1244" spans="7:7" x14ac:dyDescent="0.3">
      <c r="G1244" s="98"/>
    </row>
    <row r="1245" spans="7:7" x14ac:dyDescent="0.3">
      <c r="G1245" s="98"/>
    </row>
    <row r="1246" spans="7:7" x14ac:dyDescent="0.3">
      <c r="G1246" s="98"/>
    </row>
    <row r="1247" spans="7:7" x14ac:dyDescent="0.3">
      <c r="G1247" s="98"/>
    </row>
    <row r="1248" spans="7:7" x14ac:dyDescent="0.3">
      <c r="G1248" s="98"/>
    </row>
    <row r="1249" spans="7:7" x14ac:dyDescent="0.3">
      <c r="G1249" s="98"/>
    </row>
    <row r="1250" spans="7:7" x14ac:dyDescent="0.3">
      <c r="G1250" s="98"/>
    </row>
    <row r="1251" spans="7:7" x14ac:dyDescent="0.3">
      <c r="G1251" s="98"/>
    </row>
    <row r="1252" spans="7:7" x14ac:dyDescent="0.3">
      <c r="G1252" s="98"/>
    </row>
    <row r="1253" spans="7:7" x14ac:dyDescent="0.3">
      <c r="G1253" s="98"/>
    </row>
    <row r="1254" spans="7:7" x14ac:dyDescent="0.3">
      <c r="G1254" s="98"/>
    </row>
    <row r="1255" spans="7:7" x14ac:dyDescent="0.3">
      <c r="G1255" s="98"/>
    </row>
    <row r="1256" spans="7:7" x14ac:dyDescent="0.3">
      <c r="G1256" s="98"/>
    </row>
    <row r="1257" spans="7:7" x14ac:dyDescent="0.3">
      <c r="G1257" s="98"/>
    </row>
    <row r="1258" spans="7:7" x14ac:dyDescent="0.3">
      <c r="G1258" s="98"/>
    </row>
    <row r="1259" spans="7:7" x14ac:dyDescent="0.3">
      <c r="G1259" s="98"/>
    </row>
    <row r="1260" spans="7:7" x14ac:dyDescent="0.3">
      <c r="G1260" s="98"/>
    </row>
    <row r="1261" spans="7:7" x14ac:dyDescent="0.3">
      <c r="G1261" s="98"/>
    </row>
    <row r="1262" spans="7:7" x14ac:dyDescent="0.3">
      <c r="G1262" s="98"/>
    </row>
    <row r="1263" spans="7:7" x14ac:dyDescent="0.3">
      <c r="G1263" s="98"/>
    </row>
    <row r="1264" spans="7:7" x14ac:dyDescent="0.3">
      <c r="G1264" s="98"/>
    </row>
    <row r="1265" spans="7:7" x14ac:dyDescent="0.3">
      <c r="G1265" s="98"/>
    </row>
    <row r="1266" spans="7:7" x14ac:dyDescent="0.3">
      <c r="G1266" s="98"/>
    </row>
    <row r="1267" spans="7:7" x14ac:dyDescent="0.3">
      <c r="G1267" s="98"/>
    </row>
    <row r="1268" spans="7:7" x14ac:dyDescent="0.3">
      <c r="G1268" s="98"/>
    </row>
    <row r="1269" spans="7:7" x14ac:dyDescent="0.3">
      <c r="G1269" s="98"/>
    </row>
    <row r="1270" spans="7:7" x14ac:dyDescent="0.3">
      <c r="G1270" s="98"/>
    </row>
    <row r="1271" spans="7:7" x14ac:dyDescent="0.3">
      <c r="G1271" s="98"/>
    </row>
    <row r="1272" spans="7:7" x14ac:dyDescent="0.3">
      <c r="G1272" s="98"/>
    </row>
    <row r="1273" spans="7:7" x14ac:dyDescent="0.3">
      <c r="G1273" s="98"/>
    </row>
    <row r="1274" spans="7:7" x14ac:dyDescent="0.3">
      <c r="G1274" s="98"/>
    </row>
    <row r="1275" spans="7:7" x14ac:dyDescent="0.3">
      <c r="G1275" s="98"/>
    </row>
    <row r="1276" spans="7:7" x14ac:dyDescent="0.3">
      <c r="G1276" s="98"/>
    </row>
    <row r="1277" spans="7:7" x14ac:dyDescent="0.3">
      <c r="G1277" s="98"/>
    </row>
    <row r="1278" spans="7:7" x14ac:dyDescent="0.3">
      <c r="G1278" s="98"/>
    </row>
    <row r="1279" spans="7:7" x14ac:dyDescent="0.3">
      <c r="G1279" s="98"/>
    </row>
    <row r="1280" spans="7:7" x14ac:dyDescent="0.3">
      <c r="G1280" s="98"/>
    </row>
    <row r="1281" spans="7:7" x14ac:dyDescent="0.3">
      <c r="G1281" s="98"/>
    </row>
    <row r="1282" spans="7:7" x14ac:dyDescent="0.3">
      <c r="G1282" s="98"/>
    </row>
    <row r="1283" spans="7:7" x14ac:dyDescent="0.3">
      <c r="G1283" s="98"/>
    </row>
    <row r="1284" spans="7:7" x14ac:dyDescent="0.3">
      <c r="G1284" s="98"/>
    </row>
    <row r="1285" spans="7:7" x14ac:dyDescent="0.3">
      <c r="G1285" s="98"/>
    </row>
    <row r="1286" spans="7:7" x14ac:dyDescent="0.3">
      <c r="G1286" s="98"/>
    </row>
    <row r="1287" spans="7:7" x14ac:dyDescent="0.3">
      <c r="G1287" s="98"/>
    </row>
    <row r="1288" spans="7:7" x14ac:dyDescent="0.3">
      <c r="G1288" s="98"/>
    </row>
    <row r="1289" spans="7:7" x14ac:dyDescent="0.3">
      <c r="G1289" s="98"/>
    </row>
    <row r="1290" spans="7:7" x14ac:dyDescent="0.3">
      <c r="G1290" s="98"/>
    </row>
    <row r="1291" spans="7:7" x14ac:dyDescent="0.3">
      <c r="G1291" s="98"/>
    </row>
    <row r="1292" spans="7:7" x14ac:dyDescent="0.3">
      <c r="G1292" s="98"/>
    </row>
    <row r="1293" spans="7:7" x14ac:dyDescent="0.3">
      <c r="G1293" s="98"/>
    </row>
    <row r="1294" spans="7:7" x14ac:dyDescent="0.3">
      <c r="G1294" s="98"/>
    </row>
    <row r="1295" spans="7:7" x14ac:dyDescent="0.3">
      <c r="G1295" s="98"/>
    </row>
    <row r="1296" spans="7:7" x14ac:dyDescent="0.3">
      <c r="G1296" s="98"/>
    </row>
    <row r="1297" spans="7:7" x14ac:dyDescent="0.3">
      <c r="G1297" s="98"/>
    </row>
    <row r="1298" spans="7:7" x14ac:dyDescent="0.3">
      <c r="G1298" s="98"/>
    </row>
    <row r="1299" spans="7:7" x14ac:dyDescent="0.3">
      <c r="G1299" s="98"/>
    </row>
    <row r="1300" spans="7:7" x14ac:dyDescent="0.3">
      <c r="G1300" s="98"/>
    </row>
    <row r="1301" spans="7:7" x14ac:dyDescent="0.3">
      <c r="G1301" s="98"/>
    </row>
    <row r="1302" spans="7:7" x14ac:dyDescent="0.3">
      <c r="G1302" s="98"/>
    </row>
    <row r="1303" spans="7:7" x14ac:dyDescent="0.3">
      <c r="G1303" s="98"/>
    </row>
    <row r="1304" spans="7:7" x14ac:dyDescent="0.3">
      <c r="G1304" s="98"/>
    </row>
    <row r="1305" spans="7:7" x14ac:dyDescent="0.3">
      <c r="G1305" s="98"/>
    </row>
    <row r="1306" spans="7:7" x14ac:dyDescent="0.3">
      <c r="G1306" s="98"/>
    </row>
    <row r="1307" spans="7:7" x14ac:dyDescent="0.3">
      <c r="G1307" s="98"/>
    </row>
    <row r="1308" spans="7:7" x14ac:dyDescent="0.3">
      <c r="G1308" s="98"/>
    </row>
    <row r="1309" spans="7:7" x14ac:dyDescent="0.3">
      <c r="G1309" s="98"/>
    </row>
    <row r="1310" spans="7:7" x14ac:dyDescent="0.3">
      <c r="G1310" s="98"/>
    </row>
    <row r="1311" spans="7:7" x14ac:dyDescent="0.3">
      <c r="G1311" s="98"/>
    </row>
    <row r="1312" spans="7:7" x14ac:dyDescent="0.3">
      <c r="G1312" s="98"/>
    </row>
    <row r="1313" spans="7:7" x14ac:dyDescent="0.3">
      <c r="G1313" s="98"/>
    </row>
    <row r="1314" spans="7:7" x14ac:dyDescent="0.3">
      <c r="G1314" s="98"/>
    </row>
    <row r="1315" spans="7:7" x14ac:dyDescent="0.3">
      <c r="G1315" s="98"/>
    </row>
    <row r="1316" spans="7:7" x14ac:dyDescent="0.3">
      <c r="G1316" s="98"/>
    </row>
    <row r="1317" spans="7:7" x14ac:dyDescent="0.3">
      <c r="G1317" s="98"/>
    </row>
    <row r="1318" spans="7:7" x14ac:dyDescent="0.3">
      <c r="G1318" s="98"/>
    </row>
    <row r="1319" spans="7:7" x14ac:dyDescent="0.3">
      <c r="G1319" s="98"/>
    </row>
    <row r="1320" spans="7:7" x14ac:dyDescent="0.3">
      <c r="G1320" s="98"/>
    </row>
    <row r="1321" spans="7:7" x14ac:dyDescent="0.3">
      <c r="G1321" s="98"/>
    </row>
    <row r="1322" spans="7:7" x14ac:dyDescent="0.3">
      <c r="G1322" s="98"/>
    </row>
    <row r="1323" spans="7:7" x14ac:dyDescent="0.3">
      <c r="G1323" s="98"/>
    </row>
    <row r="1324" spans="7:7" x14ac:dyDescent="0.3">
      <c r="G1324" s="98"/>
    </row>
    <row r="1325" spans="7:7" x14ac:dyDescent="0.3">
      <c r="G1325" s="98"/>
    </row>
    <row r="1326" spans="7:7" x14ac:dyDescent="0.3">
      <c r="G1326" s="98"/>
    </row>
    <row r="1327" spans="7:7" x14ac:dyDescent="0.3">
      <c r="G1327" s="98"/>
    </row>
    <row r="1328" spans="7:7" x14ac:dyDescent="0.3">
      <c r="G1328" s="98"/>
    </row>
    <row r="1329" spans="7:7" x14ac:dyDescent="0.3">
      <c r="G1329" s="98"/>
    </row>
    <row r="1330" spans="7:7" x14ac:dyDescent="0.3">
      <c r="G1330" s="98"/>
    </row>
    <row r="1331" spans="7:7" x14ac:dyDescent="0.3">
      <c r="G1331" s="98"/>
    </row>
    <row r="1332" spans="7:7" x14ac:dyDescent="0.3">
      <c r="G1332" s="98"/>
    </row>
    <row r="1333" spans="7:7" x14ac:dyDescent="0.3">
      <c r="G1333" s="98"/>
    </row>
    <row r="1334" spans="7:7" x14ac:dyDescent="0.3">
      <c r="G1334" s="98"/>
    </row>
    <row r="1335" spans="7:7" x14ac:dyDescent="0.3">
      <c r="G1335" s="98"/>
    </row>
    <row r="1336" spans="7:7" x14ac:dyDescent="0.3">
      <c r="G1336" s="98"/>
    </row>
    <row r="1337" spans="7:7" x14ac:dyDescent="0.3">
      <c r="G1337" s="98"/>
    </row>
    <row r="1338" spans="7:7" x14ac:dyDescent="0.3">
      <c r="G1338" s="98"/>
    </row>
    <row r="1339" spans="7:7" x14ac:dyDescent="0.3">
      <c r="G1339" s="98"/>
    </row>
    <row r="1340" spans="7:7" x14ac:dyDescent="0.3">
      <c r="G1340" s="98"/>
    </row>
    <row r="1341" spans="7:7" x14ac:dyDescent="0.3">
      <c r="G1341" s="98"/>
    </row>
    <row r="1342" spans="7:7" x14ac:dyDescent="0.3">
      <c r="G1342" s="98"/>
    </row>
    <row r="1343" spans="7:7" x14ac:dyDescent="0.3">
      <c r="G1343" s="98"/>
    </row>
    <row r="1344" spans="7:7" x14ac:dyDescent="0.3">
      <c r="G1344" s="98"/>
    </row>
    <row r="1345" spans="7:7" x14ac:dyDescent="0.3">
      <c r="G1345" s="98"/>
    </row>
    <row r="1346" spans="7:7" x14ac:dyDescent="0.3">
      <c r="G1346" s="98"/>
    </row>
    <row r="1347" spans="7:7" x14ac:dyDescent="0.3">
      <c r="G1347" s="98"/>
    </row>
    <row r="1348" spans="7:7" x14ac:dyDescent="0.3">
      <c r="G1348" s="98"/>
    </row>
    <row r="1349" spans="7:7" x14ac:dyDescent="0.3">
      <c r="G1349" s="98"/>
    </row>
    <row r="1350" spans="7:7" x14ac:dyDescent="0.3">
      <c r="G1350" s="98"/>
    </row>
    <row r="1351" spans="7:7" x14ac:dyDescent="0.3">
      <c r="G1351" s="98"/>
    </row>
    <row r="1352" spans="7:7" x14ac:dyDescent="0.3">
      <c r="G1352" s="98"/>
    </row>
    <row r="1353" spans="7:7" x14ac:dyDescent="0.3">
      <c r="G1353" s="98"/>
    </row>
    <row r="1354" spans="7:7" x14ac:dyDescent="0.3">
      <c r="G1354" s="98"/>
    </row>
    <row r="1355" spans="7:7" x14ac:dyDescent="0.3">
      <c r="G1355" s="98"/>
    </row>
    <row r="1356" spans="7:7" x14ac:dyDescent="0.3">
      <c r="G1356" s="98"/>
    </row>
    <row r="1357" spans="7:7" x14ac:dyDescent="0.3">
      <c r="G1357" s="98"/>
    </row>
    <row r="1358" spans="7:7" x14ac:dyDescent="0.3">
      <c r="G1358" s="98"/>
    </row>
    <row r="1359" spans="7:7" x14ac:dyDescent="0.3">
      <c r="G1359" s="98"/>
    </row>
    <row r="1360" spans="7:7" x14ac:dyDescent="0.3">
      <c r="G1360" s="98"/>
    </row>
    <row r="1361" spans="7:7" x14ac:dyDescent="0.3">
      <c r="G1361" s="98"/>
    </row>
    <row r="1362" spans="7:7" x14ac:dyDescent="0.3">
      <c r="G1362" s="98"/>
    </row>
    <row r="1363" spans="7:7" x14ac:dyDescent="0.3">
      <c r="G1363" s="98"/>
    </row>
    <row r="1364" spans="7:7" x14ac:dyDescent="0.3">
      <c r="G1364" s="98"/>
    </row>
    <row r="1365" spans="7:7" x14ac:dyDescent="0.3">
      <c r="G1365" s="98"/>
    </row>
    <row r="1366" spans="7:7" x14ac:dyDescent="0.3">
      <c r="G1366" s="98"/>
    </row>
    <row r="1367" spans="7:7" x14ac:dyDescent="0.3">
      <c r="G1367" s="98"/>
    </row>
    <row r="1368" spans="7:7" x14ac:dyDescent="0.3">
      <c r="G1368" s="98"/>
    </row>
    <row r="1369" spans="7:7" x14ac:dyDescent="0.3">
      <c r="G1369" s="98"/>
    </row>
    <row r="1370" spans="7:7" x14ac:dyDescent="0.3">
      <c r="G1370" s="98"/>
    </row>
    <row r="1371" spans="7:7" x14ac:dyDescent="0.3">
      <c r="G1371" s="98"/>
    </row>
    <row r="1372" spans="7:7" x14ac:dyDescent="0.3">
      <c r="G1372" s="98"/>
    </row>
    <row r="1373" spans="7:7" x14ac:dyDescent="0.3">
      <c r="G1373" s="98"/>
    </row>
    <row r="1374" spans="7:7" x14ac:dyDescent="0.3">
      <c r="G1374" s="98"/>
    </row>
    <row r="1375" spans="7:7" x14ac:dyDescent="0.3">
      <c r="G1375" s="98"/>
    </row>
    <row r="1376" spans="7:7" x14ac:dyDescent="0.3">
      <c r="G1376" s="98"/>
    </row>
    <row r="1377" spans="7:7" x14ac:dyDescent="0.3">
      <c r="G1377" s="98"/>
    </row>
    <row r="1378" spans="7:7" x14ac:dyDescent="0.3">
      <c r="G1378" s="98"/>
    </row>
    <row r="1379" spans="7:7" x14ac:dyDescent="0.3">
      <c r="G1379" s="98"/>
    </row>
    <row r="1380" spans="7:7" x14ac:dyDescent="0.3">
      <c r="G1380" s="98"/>
    </row>
    <row r="1381" spans="7:7" x14ac:dyDescent="0.3">
      <c r="G1381" s="98"/>
    </row>
    <row r="1382" spans="7:7" x14ac:dyDescent="0.3">
      <c r="G1382" s="98"/>
    </row>
    <row r="1383" spans="7:7" x14ac:dyDescent="0.3">
      <c r="G1383" s="98"/>
    </row>
    <row r="1384" spans="7:7" x14ac:dyDescent="0.3">
      <c r="G1384" s="98"/>
    </row>
    <row r="1385" spans="7:7" x14ac:dyDescent="0.3">
      <c r="G1385" s="98"/>
    </row>
    <row r="1386" spans="7:7" x14ac:dyDescent="0.3">
      <c r="G1386" s="98"/>
    </row>
    <row r="1387" spans="7:7" x14ac:dyDescent="0.3">
      <c r="G1387" s="98"/>
    </row>
    <row r="1388" spans="7:7" x14ac:dyDescent="0.3">
      <c r="G1388" s="98"/>
    </row>
    <row r="1389" spans="7:7" x14ac:dyDescent="0.3">
      <c r="G1389" s="98"/>
    </row>
    <row r="1390" spans="7:7" x14ac:dyDescent="0.3">
      <c r="G1390" s="98"/>
    </row>
    <row r="1391" spans="7:7" x14ac:dyDescent="0.3">
      <c r="G1391" s="98"/>
    </row>
    <row r="1392" spans="7:7" x14ac:dyDescent="0.3">
      <c r="G1392" s="98"/>
    </row>
    <row r="1393" spans="7:7" x14ac:dyDescent="0.3">
      <c r="G1393" s="98"/>
    </row>
    <row r="1394" spans="7:7" x14ac:dyDescent="0.3">
      <c r="G1394" s="98"/>
    </row>
    <row r="1395" spans="7:7" x14ac:dyDescent="0.3">
      <c r="G1395" s="98"/>
    </row>
    <row r="1396" spans="7:7" x14ac:dyDescent="0.3">
      <c r="G1396" s="98"/>
    </row>
    <row r="1397" spans="7:7" x14ac:dyDescent="0.3">
      <c r="G1397" s="98"/>
    </row>
    <row r="1398" spans="7:7" x14ac:dyDescent="0.3">
      <c r="G1398" s="98"/>
    </row>
    <row r="1399" spans="7:7" x14ac:dyDescent="0.3">
      <c r="G1399" s="98"/>
    </row>
    <row r="1400" spans="7:7" x14ac:dyDescent="0.3">
      <c r="G1400" s="98"/>
    </row>
    <row r="1401" spans="7:7" x14ac:dyDescent="0.3">
      <c r="G1401" s="98"/>
    </row>
    <row r="1402" spans="7:7" x14ac:dyDescent="0.3">
      <c r="G1402" s="98"/>
    </row>
    <row r="1403" spans="7:7" x14ac:dyDescent="0.3">
      <c r="G1403" s="98"/>
    </row>
    <row r="1404" spans="7:7" x14ac:dyDescent="0.3">
      <c r="G1404" s="98"/>
    </row>
    <row r="1405" spans="7:7" x14ac:dyDescent="0.3">
      <c r="G1405" s="98"/>
    </row>
    <row r="1406" spans="7:7" x14ac:dyDescent="0.3">
      <c r="G1406" s="98"/>
    </row>
    <row r="1407" spans="7:7" x14ac:dyDescent="0.3">
      <c r="G1407" s="98"/>
    </row>
    <row r="1408" spans="7:7" x14ac:dyDescent="0.3">
      <c r="G1408" s="98"/>
    </row>
    <row r="1409" spans="7:7" x14ac:dyDescent="0.3">
      <c r="G1409" s="98"/>
    </row>
    <row r="1410" spans="7:7" x14ac:dyDescent="0.3">
      <c r="G1410" s="98"/>
    </row>
    <row r="1411" spans="7:7" x14ac:dyDescent="0.3">
      <c r="G1411" s="98"/>
    </row>
    <row r="1412" spans="7:7" x14ac:dyDescent="0.3">
      <c r="G1412" s="98"/>
    </row>
    <row r="1413" spans="7:7" x14ac:dyDescent="0.3">
      <c r="G1413" s="98"/>
    </row>
    <row r="1414" spans="7:7" x14ac:dyDescent="0.3">
      <c r="G1414" s="98"/>
    </row>
    <row r="1415" spans="7:7" x14ac:dyDescent="0.3">
      <c r="G1415" s="98"/>
    </row>
    <row r="1416" spans="7:7" x14ac:dyDescent="0.3">
      <c r="G1416" s="98"/>
    </row>
    <row r="1417" spans="7:7" x14ac:dyDescent="0.3">
      <c r="G1417" s="98"/>
    </row>
    <row r="1418" spans="7:7" x14ac:dyDescent="0.3">
      <c r="G1418" s="98"/>
    </row>
    <row r="1419" spans="7:7" x14ac:dyDescent="0.3">
      <c r="G1419" s="98"/>
    </row>
    <row r="1420" spans="7:7" x14ac:dyDescent="0.3">
      <c r="G1420" s="98"/>
    </row>
    <row r="1421" spans="7:7" x14ac:dyDescent="0.3">
      <c r="G1421" s="98"/>
    </row>
    <row r="1422" spans="7:7" x14ac:dyDescent="0.3">
      <c r="G1422" s="98"/>
    </row>
    <row r="1423" spans="7:7" x14ac:dyDescent="0.3">
      <c r="G1423" s="98"/>
    </row>
    <row r="1424" spans="7:7" x14ac:dyDescent="0.3">
      <c r="G1424" s="98"/>
    </row>
    <row r="1425" spans="7:7" x14ac:dyDescent="0.3">
      <c r="G1425" s="98"/>
    </row>
    <row r="1426" spans="7:7" x14ac:dyDescent="0.3">
      <c r="G1426" s="98"/>
    </row>
    <row r="1427" spans="7:7" x14ac:dyDescent="0.3">
      <c r="G1427" s="98"/>
    </row>
    <row r="1428" spans="7:7" x14ac:dyDescent="0.3">
      <c r="G1428" s="98"/>
    </row>
    <row r="1429" spans="7:7" x14ac:dyDescent="0.3">
      <c r="G1429" s="98"/>
    </row>
    <row r="1430" spans="7:7" x14ac:dyDescent="0.3">
      <c r="G1430" s="98"/>
    </row>
    <row r="1431" spans="7:7" x14ac:dyDescent="0.3">
      <c r="G1431" s="98"/>
    </row>
    <row r="1432" spans="7:7" x14ac:dyDescent="0.3">
      <c r="G1432" s="98"/>
    </row>
    <row r="1433" spans="7:7" x14ac:dyDescent="0.3">
      <c r="G1433" s="98"/>
    </row>
    <row r="1434" spans="7:7" x14ac:dyDescent="0.3">
      <c r="G1434" s="98"/>
    </row>
    <row r="1435" spans="7:7" x14ac:dyDescent="0.3">
      <c r="G1435" s="98"/>
    </row>
    <row r="1436" spans="7:7" x14ac:dyDescent="0.3">
      <c r="G1436" s="98"/>
    </row>
    <row r="1437" spans="7:7" x14ac:dyDescent="0.3">
      <c r="G1437" s="98"/>
    </row>
    <row r="1438" spans="7:7" x14ac:dyDescent="0.3">
      <c r="G1438" s="98"/>
    </row>
    <row r="1439" spans="7:7" x14ac:dyDescent="0.3">
      <c r="G1439" s="98"/>
    </row>
    <row r="1440" spans="7:7" x14ac:dyDescent="0.3">
      <c r="G1440" s="98"/>
    </row>
    <row r="1441" spans="7:7" x14ac:dyDescent="0.3">
      <c r="G1441" s="98"/>
    </row>
    <row r="1442" spans="7:7" x14ac:dyDescent="0.3">
      <c r="G1442" s="98"/>
    </row>
    <row r="1443" spans="7:7" x14ac:dyDescent="0.3">
      <c r="G1443" s="98"/>
    </row>
    <row r="1444" spans="7:7" x14ac:dyDescent="0.3">
      <c r="G1444" s="98"/>
    </row>
    <row r="1445" spans="7:7" x14ac:dyDescent="0.3">
      <c r="G1445" s="98"/>
    </row>
    <row r="1446" spans="7:7" x14ac:dyDescent="0.3">
      <c r="G1446" s="98"/>
    </row>
    <row r="1447" spans="7:7" x14ac:dyDescent="0.3">
      <c r="G1447" s="98"/>
    </row>
    <row r="1448" spans="7:7" x14ac:dyDescent="0.3">
      <c r="G1448" s="98"/>
    </row>
    <row r="1449" spans="7:7" x14ac:dyDescent="0.3">
      <c r="G1449" s="98"/>
    </row>
    <row r="1450" spans="7:7" x14ac:dyDescent="0.3">
      <c r="G1450" s="98"/>
    </row>
    <row r="1451" spans="7:7" x14ac:dyDescent="0.3">
      <c r="G1451" s="98"/>
    </row>
    <row r="1452" spans="7:7" x14ac:dyDescent="0.3">
      <c r="G1452" s="98"/>
    </row>
    <row r="1453" spans="7:7" x14ac:dyDescent="0.3">
      <c r="G1453" s="98"/>
    </row>
    <row r="1454" spans="7:7" x14ac:dyDescent="0.3">
      <c r="G1454" s="98"/>
    </row>
    <row r="1455" spans="7:7" x14ac:dyDescent="0.3">
      <c r="G1455" s="98"/>
    </row>
    <row r="1456" spans="7:7" x14ac:dyDescent="0.3">
      <c r="G1456" s="98"/>
    </row>
    <row r="1457" spans="7:7" x14ac:dyDescent="0.3">
      <c r="G1457" s="98"/>
    </row>
    <row r="1458" spans="7:7" x14ac:dyDescent="0.3">
      <c r="G1458" s="98"/>
    </row>
    <row r="1459" spans="7:7" x14ac:dyDescent="0.3">
      <c r="G1459" s="98"/>
    </row>
    <row r="1460" spans="7:7" x14ac:dyDescent="0.3">
      <c r="G1460" s="98"/>
    </row>
    <row r="1461" spans="7:7" x14ac:dyDescent="0.3">
      <c r="G1461" s="98"/>
    </row>
    <row r="1462" spans="7:7" x14ac:dyDescent="0.3">
      <c r="G1462" s="98"/>
    </row>
    <row r="1463" spans="7:7" x14ac:dyDescent="0.3">
      <c r="G1463" s="98"/>
    </row>
    <row r="1464" spans="7:7" x14ac:dyDescent="0.3">
      <c r="G1464" s="98"/>
    </row>
    <row r="1465" spans="7:7" x14ac:dyDescent="0.3">
      <c r="G1465" s="98"/>
    </row>
    <row r="1466" spans="7:7" x14ac:dyDescent="0.3">
      <c r="G1466" s="98"/>
    </row>
    <row r="1467" spans="7:7" x14ac:dyDescent="0.3">
      <c r="G1467" s="98"/>
    </row>
    <row r="1468" spans="7:7" x14ac:dyDescent="0.3">
      <c r="G1468" s="98"/>
    </row>
    <row r="1469" spans="7:7" x14ac:dyDescent="0.3">
      <c r="G1469" s="98"/>
    </row>
    <row r="1470" spans="7:7" x14ac:dyDescent="0.3">
      <c r="G1470" s="98"/>
    </row>
    <row r="1471" spans="7:7" x14ac:dyDescent="0.3">
      <c r="G1471" s="98"/>
    </row>
    <row r="1472" spans="7:7" x14ac:dyDescent="0.3">
      <c r="G1472" s="98"/>
    </row>
    <row r="1473" spans="7:7" x14ac:dyDescent="0.3">
      <c r="G1473" s="98"/>
    </row>
    <row r="1474" spans="7:7" x14ac:dyDescent="0.3">
      <c r="G1474" s="98"/>
    </row>
    <row r="1475" spans="7:7" x14ac:dyDescent="0.3">
      <c r="G1475" s="98"/>
    </row>
    <row r="1476" spans="7:7" x14ac:dyDescent="0.3">
      <c r="G1476" s="98"/>
    </row>
    <row r="1477" spans="7:7" x14ac:dyDescent="0.3">
      <c r="G1477" s="98"/>
    </row>
    <row r="1478" spans="7:7" x14ac:dyDescent="0.3">
      <c r="G1478" s="98"/>
    </row>
    <row r="1479" spans="7:7" x14ac:dyDescent="0.3">
      <c r="G1479" s="98"/>
    </row>
    <row r="1480" spans="7:7" x14ac:dyDescent="0.3">
      <c r="G1480" s="98"/>
    </row>
    <row r="1481" spans="7:7" x14ac:dyDescent="0.3">
      <c r="G1481" s="98"/>
    </row>
    <row r="1482" spans="7:7" x14ac:dyDescent="0.3">
      <c r="G1482" s="98"/>
    </row>
    <row r="1483" spans="7:7" x14ac:dyDescent="0.3">
      <c r="G1483" s="98"/>
    </row>
    <row r="1484" spans="7:7" x14ac:dyDescent="0.3">
      <c r="G1484" s="98"/>
    </row>
    <row r="1485" spans="7:7" x14ac:dyDescent="0.3">
      <c r="G1485" s="98"/>
    </row>
    <row r="1486" spans="7:7" x14ac:dyDescent="0.3">
      <c r="G1486" s="98"/>
    </row>
    <row r="1487" spans="7:7" x14ac:dyDescent="0.3">
      <c r="G1487" s="98"/>
    </row>
    <row r="1488" spans="7:7" x14ac:dyDescent="0.3">
      <c r="G1488" s="98"/>
    </row>
    <row r="1489" spans="7:7" x14ac:dyDescent="0.3">
      <c r="G1489" s="98"/>
    </row>
    <row r="1490" spans="7:7" x14ac:dyDescent="0.3">
      <c r="G1490" s="98"/>
    </row>
    <row r="1491" spans="7:7" x14ac:dyDescent="0.3">
      <c r="G1491" s="98"/>
    </row>
    <row r="1492" spans="7:7" x14ac:dyDescent="0.3">
      <c r="G1492" s="98"/>
    </row>
    <row r="1493" spans="7:7" x14ac:dyDescent="0.3">
      <c r="G1493" s="98"/>
    </row>
    <row r="1494" spans="7:7" x14ac:dyDescent="0.3">
      <c r="G1494" s="98"/>
    </row>
    <row r="1495" spans="7:7" x14ac:dyDescent="0.3">
      <c r="G1495" s="98"/>
    </row>
    <row r="1496" spans="7:7" x14ac:dyDescent="0.3">
      <c r="G1496" s="98"/>
    </row>
    <row r="1497" spans="7:7" x14ac:dyDescent="0.3">
      <c r="G1497" s="98"/>
    </row>
    <row r="1498" spans="7:7" x14ac:dyDescent="0.3">
      <c r="G1498" s="98"/>
    </row>
    <row r="1499" spans="7:7" x14ac:dyDescent="0.3">
      <c r="G1499" s="98"/>
    </row>
    <row r="1500" spans="7:7" x14ac:dyDescent="0.3">
      <c r="G1500" s="98"/>
    </row>
    <row r="1501" spans="7:7" x14ac:dyDescent="0.3">
      <c r="G1501" s="98"/>
    </row>
    <row r="1502" spans="7:7" x14ac:dyDescent="0.3">
      <c r="G1502" s="98"/>
    </row>
    <row r="1503" spans="7:7" x14ac:dyDescent="0.3">
      <c r="G1503" s="98"/>
    </row>
    <row r="1504" spans="7:7" x14ac:dyDescent="0.3">
      <c r="G1504" s="98"/>
    </row>
    <row r="1505" spans="7:7" x14ac:dyDescent="0.3">
      <c r="G1505" s="98"/>
    </row>
    <row r="1506" spans="7:7" x14ac:dyDescent="0.3">
      <c r="G1506" s="98"/>
    </row>
    <row r="1507" spans="7:7" x14ac:dyDescent="0.3">
      <c r="G1507" s="98"/>
    </row>
    <row r="1508" spans="7:7" x14ac:dyDescent="0.3">
      <c r="G1508" s="98"/>
    </row>
    <row r="1509" spans="7:7" x14ac:dyDescent="0.3">
      <c r="G1509" s="98"/>
    </row>
    <row r="1510" spans="7:7" x14ac:dyDescent="0.3">
      <c r="G1510" s="98"/>
    </row>
    <row r="1511" spans="7:7" x14ac:dyDescent="0.3">
      <c r="G1511" s="98"/>
    </row>
    <row r="1512" spans="7:7" x14ac:dyDescent="0.3">
      <c r="G1512" s="98"/>
    </row>
    <row r="1513" spans="7:7" x14ac:dyDescent="0.3">
      <c r="G1513" s="98"/>
    </row>
    <row r="1514" spans="7:7" x14ac:dyDescent="0.3">
      <c r="G1514" s="98"/>
    </row>
    <row r="1515" spans="7:7" x14ac:dyDescent="0.3">
      <c r="G1515" s="98"/>
    </row>
    <row r="1516" spans="7:7" x14ac:dyDescent="0.3">
      <c r="G1516" s="98"/>
    </row>
    <row r="1517" spans="7:7" x14ac:dyDescent="0.3">
      <c r="G1517" s="98"/>
    </row>
    <row r="1518" spans="7:7" x14ac:dyDescent="0.3">
      <c r="G1518" s="98"/>
    </row>
    <row r="1519" spans="7:7" x14ac:dyDescent="0.3">
      <c r="G1519" s="98"/>
    </row>
    <row r="1520" spans="7:7" x14ac:dyDescent="0.3">
      <c r="G1520" s="98"/>
    </row>
    <row r="1521" spans="7:7" x14ac:dyDescent="0.3">
      <c r="G1521" s="98"/>
    </row>
    <row r="1522" spans="7:7" x14ac:dyDescent="0.3">
      <c r="G1522" s="98"/>
    </row>
    <row r="1523" spans="7:7" x14ac:dyDescent="0.3">
      <c r="G1523" s="98"/>
    </row>
    <row r="1524" spans="7:7" x14ac:dyDescent="0.3">
      <c r="G1524" s="98"/>
    </row>
    <row r="1525" spans="7:7" x14ac:dyDescent="0.3">
      <c r="G1525" s="98"/>
    </row>
    <row r="1526" spans="7:7" x14ac:dyDescent="0.3">
      <c r="G1526" s="98"/>
    </row>
    <row r="1527" spans="7:7" x14ac:dyDescent="0.3">
      <c r="G1527" s="98"/>
    </row>
    <row r="1528" spans="7:7" x14ac:dyDescent="0.3">
      <c r="G1528" s="98"/>
    </row>
    <row r="1529" spans="7:7" x14ac:dyDescent="0.3">
      <c r="G1529" s="98"/>
    </row>
    <row r="1530" spans="7:7" x14ac:dyDescent="0.3">
      <c r="G1530" s="98"/>
    </row>
    <row r="1531" spans="7:7" x14ac:dyDescent="0.3">
      <c r="G1531" s="98"/>
    </row>
    <row r="1532" spans="7:7" x14ac:dyDescent="0.3">
      <c r="G1532" s="98"/>
    </row>
    <row r="1533" spans="7:7" x14ac:dyDescent="0.3">
      <c r="G1533" s="98"/>
    </row>
    <row r="1534" spans="7:7" x14ac:dyDescent="0.3">
      <c r="G1534" s="98"/>
    </row>
    <row r="1535" spans="7:7" x14ac:dyDescent="0.3">
      <c r="G1535" s="98"/>
    </row>
    <row r="1536" spans="7:7" x14ac:dyDescent="0.3">
      <c r="G1536" s="98"/>
    </row>
    <row r="1537" spans="7:7" x14ac:dyDescent="0.3">
      <c r="G1537" s="98"/>
    </row>
    <row r="1538" spans="7:7" x14ac:dyDescent="0.3">
      <c r="G1538" s="98"/>
    </row>
    <row r="1539" spans="7:7" x14ac:dyDescent="0.3">
      <c r="G1539" s="98"/>
    </row>
    <row r="1540" spans="7:7" x14ac:dyDescent="0.3">
      <c r="G1540" s="98"/>
    </row>
    <row r="1541" spans="7:7" x14ac:dyDescent="0.3">
      <c r="G1541" s="98"/>
    </row>
    <row r="1542" spans="7:7" x14ac:dyDescent="0.3">
      <c r="G1542" s="98"/>
    </row>
    <row r="1543" spans="7:7" x14ac:dyDescent="0.3">
      <c r="G1543" s="98"/>
    </row>
    <row r="1544" spans="7:7" x14ac:dyDescent="0.3">
      <c r="G1544" s="98"/>
    </row>
    <row r="1545" spans="7:7" x14ac:dyDescent="0.3">
      <c r="G1545" s="98"/>
    </row>
    <row r="1546" spans="7:7" x14ac:dyDescent="0.3">
      <c r="G1546" s="98"/>
    </row>
    <row r="1547" spans="7:7" x14ac:dyDescent="0.3">
      <c r="G1547" s="98"/>
    </row>
    <row r="1548" spans="7:7" x14ac:dyDescent="0.3">
      <c r="G1548" s="98"/>
    </row>
    <row r="1549" spans="7:7" x14ac:dyDescent="0.3">
      <c r="G1549" s="98"/>
    </row>
    <row r="1550" spans="7:7" x14ac:dyDescent="0.3">
      <c r="G1550" s="98"/>
    </row>
    <row r="1551" spans="7:7" x14ac:dyDescent="0.3">
      <c r="G1551" s="98"/>
    </row>
    <row r="1552" spans="7:7" x14ac:dyDescent="0.3">
      <c r="G1552" s="98"/>
    </row>
    <row r="1553" spans="7:7" x14ac:dyDescent="0.3">
      <c r="G1553" s="98"/>
    </row>
    <row r="1554" spans="7:7" x14ac:dyDescent="0.3">
      <c r="G1554" s="98"/>
    </row>
    <row r="1555" spans="7:7" x14ac:dyDescent="0.3">
      <c r="G1555" s="98"/>
    </row>
    <row r="1556" spans="7:7" x14ac:dyDescent="0.3">
      <c r="G1556" s="98"/>
    </row>
    <row r="1557" spans="7:7" x14ac:dyDescent="0.3">
      <c r="G1557" s="98"/>
    </row>
    <row r="1558" spans="7:7" x14ac:dyDescent="0.3">
      <c r="G1558" s="98"/>
    </row>
    <row r="1559" spans="7:7" x14ac:dyDescent="0.3">
      <c r="G1559" s="98"/>
    </row>
    <row r="1560" spans="7:7" x14ac:dyDescent="0.3">
      <c r="G1560" s="98"/>
    </row>
    <row r="1561" spans="7:7" x14ac:dyDescent="0.3">
      <c r="G1561" s="98"/>
    </row>
    <row r="1562" spans="7:7" x14ac:dyDescent="0.3">
      <c r="G1562" s="98"/>
    </row>
    <row r="1563" spans="7:7" x14ac:dyDescent="0.3">
      <c r="G1563" s="98"/>
    </row>
    <row r="1564" spans="7:7" x14ac:dyDescent="0.3">
      <c r="G1564" s="98"/>
    </row>
    <row r="1565" spans="7:7" x14ac:dyDescent="0.3">
      <c r="G1565" s="98"/>
    </row>
    <row r="1566" spans="7:7" x14ac:dyDescent="0.3">
      <c r="G1566" s="98"/>
    </row>
    <row r="1567" spans="7:7" x14ac:dyDescent="0.3">
      <c r="G1567" s="98"/>
    </row>
    <row r="1568" spans="7:7" x14ac:dyDescent="0.3">
      <c r="G1568" s="98"/>
    </row>
    <row r="1569" spans="7:7" x14ac:dyDescent="0.3">
      <c r="G1569" s="98"/>
    </row>
    <row r="1570" spans="7:7" x14ac:dyDescent="0.3">
      <c r="G1570" s="98"/>
    </row>
    <row r="1571" spans="7:7" x14ac:dyDescent="0.3">
      <c r="G1571" s="98"/>
    </row>
    <row r="1572" spans="7:7" x14ac:dyDescent="0.3">
      <c r="G1572" s="98"/>
    </row>
    <row r="1573" spans="7:7" x14ac:dyDescent="0.3">
      <c r="G1573" s="98"/>
    </row>
    <row r="1574" spans="7:7" x14ac:dyDescent="0.3">
      <c r="G1574" s="98"/>
    </row>
    <row r="1575" spans="7:7" x14ac:dyDescent="0.3">
      <c r="G1575" s="98"/>
    </row>
    <row r="1576" spans="7:7" x14ac:dyDescent="0.3">
      <c r="G1576" s="98"/>
    </row>
    <row r="1577" spans="7:7" x14ac:dyDescent="0.3">
      <c r="G1577" s="98"/>
    </row>
    <row r="1578" spans="7:7" x14ac:dyDescent="0.3">
      <c r="G1578" s="98"/>
    </row>
    <row r="1579" spans="7:7" x14ac:dyDescent="0.3">
      <c r="G1579" s="98"/>
    </row>
    <row r="1580" spans="7:7" x14ac:dyDescent="0.3">
      <c r="G1580" s="98"/>
    </row>
    <row r="1581" spans="7:7" x14ac:dyDescent="0.3">
      <c r="G1581" s="98"/>
    </row>
    <row r="1582" spans="7:7" x14ac:dyDescent="0.3">
      <c r="G1582" s="98"/>
    </row>
    <row r="1583" spans="7:7" x14ac:dyDescent="0.3">
      <c r="G1583" s="98"/>
    </row>
    <row r="1584" spans="7:7" x14ac:dyDescent="0.3">
      <c r="G1584" s="98"/>
    </row>
    <row r="1585" spans="7:7" x14ac:dyDescent="0.3">
      <c r="G1585" s="98"/>
    </row>
    <row r="1586" spans="7:7" x14ac:dyDescent="0.3">
      <c r="G1586" s="98"/>
    </row>
    <row r="1587" spans="7:7" x14ac:dyDescent="0.3">
      <c r="G1587" s="98"/>
    </row>
    <row r="1588" spans="7:7" x14ac:dyDescent="0.3">
      <c r="G1588" s="98"/>
    </row>
    <row r="1589" spans="7:7" x14ac:dyDescent="0.3">
      <c r="G1589" s="98"/>
    </row>
    <row r="1590" spans="7:7" x14ac:dyDescent="0.3">
      <c r="G1590" s="98"/>
    </row>
    <row r="1591" spans="7:7" x14ac:dyDescent="0.3">
      <c r="G1591" s="98"/>
    </row>
    <row r="1592" spans="7:7" x14ac:dyDescent="0.3">
      <c r="G1592" s="98"/>
    </row>
    <row r="1593" spans="7:7" x14ac:dyDescent="0.3">
      <c r="G1593" s="98"/>
    </row>
    <row r="1594" spans="7:7" x14ac:dyDescent="0.3">
      <c r="G1594" s="98"/>
    </row>
    <row r="1595" spans="7:7" x14ac:dyDescent="0.3">
      <c r="G1595" s="98"/>
    </row>
    <row r="1596" spans="7:7" x14ac:dyDescent="0.3">
      <c r="G1596" s="98"/>
    </row>
    <row r="1597" spans="7:7" x14ac:dyDescent="0.3">
      <c r="G1597" s="98"/>
    </row>
    <row r="1598" spans="7:7" x14ac:dyDescent="0.3">
      <c r="G1598" s="98"/>
    </row>
    <row r="1599" spans="7:7" x14ac:dyDescent="0.3">
      <c r="G1599" s="98"/>
    </row>
    <row r="1600" spans="7:7" x14ac:dyDescent="0.3">
      <c r="G1600" s="98"/>
    </row>
    <row r="1601" spans="7:7" x14ac:dyDescent="0.3">
      <c r="G1601" s="98"/>
    </row>
    <row r="1602" spans="7:7" x14ac:dyDescent="0.3">
      <c r="G1602" s="98"/>
    </row>
    <row r="1603" spans="7:7" x14ac:dyDescent="0.3">
      <c r="G1603" s="98"/>
    </row>
    <row r="1604" spans="7:7" x14ac:dyDescent="0.3">
      <c r="G1604" s="98"/>
    </row>
    <row r="1605" spans="7:7" x14ac:dyDescent="0.3">
      <c r="G1605" s="98"/>
    </row>
    <row r="1606" spans="7:7" x14ac:dyDescent="0.3">
      <c r="G1606" s="98"/>
    </row>
    <row r="1607" spans="7:7" x14ac:dyDescent="0.3">
      <c r="G1607" s="98"/>
    </row>
    <row r="1608" spans="7:7" x14ac:dyDescent="0.3">
      <c r="G1608" s="98"/>
    </row>
    <row r="1609" spans="7:7" x14ac:dyDescent="0.3">
      <c r="G1609" s="98"/>
    </row>
    <row r="1610" spans="7:7" x14ac:dyDescent="0.3">
      <c r="G1610" s="98"/>
    </row>
    <row r="1611" spans="7:7" x14ac:dyDescent="0.3">
      <c r="G1611" s="98"/>
    </row>
    <row r="1612" spans="7:7" x14ac:dyDescent="0.3">
      <c r="G1612" s="98"/>
    </row>
    <row r="1613" spans="7:7" x14ac:dyDescent="0.3">
      <c r="G1613" s="98"/>
    </row>
    <row r="1614" spans="7:7" x14ac:dyDescent="0.3">
      <c r="G1614" s="98"/>
    </row>
    <row r="1615" spans="7:7" x14ac:dyDescent="0.3">
      <c r="G1615" s="98"/>
    </row>
    <row r="1616" spans="7:7" x14ac:dyDescent="0.3">
      <c r="G1616" s="98"/>
    </row>
    <row r="1617" spans="7:7" x14ac:dyDescent="0.3">
      <c r="G1617" s="98"/>
    </row>
    <row r="1618" spans="7:7" x14ac:dyDescent="0.3">
      <c r="G1618" s="98"/>
    </row>
    <row r="1619" spans="7:7" x14ac:dyDescent="0.3">
      <c r="G1619" s="98"/>
    </row>
    <row r="1620" spans="7:7" x14ac:dyDescent="0.3">
      <c r="G1620" s="98"/>
    </row>
    <row r="1621" spans="7:7" x14ac:dyDescent="0.3">
      <c r="G1621" s="98"/>
    </row>
    <row r="1622" spans="7:7" x14ac:dyDescent="0.3">
      <c r="G1622" s="98"/>
    </row>
    <row r="1623" spans="7:7" x14ac:dyDescent="0.3">
      <c r="G1623" s="98"/>
    </row>
    <row r="1624" spans="7:7" x14ac:dyDescent="0.3">
      <c r="G1624" s="98"/>
    </row>
    <row r="1625" spans="7:7" x14ac:dyDescent="0.3">
      <c r="G1625" s="98"/>
    </row>
    <row r="1626" spans="7:7" x14ac:dyDescent="0.3">
      <c r="G1626" s="98"/>
    </row>
    <row r="1627" spans="7:7" x14ac:dyDescent="0.3">
      <c r="G1627" s="98"/>
    </row>
    <row r="1628" spans="7:7" x14ac:dyDescent="0.3">
      <c r="G1628" s="98"/>
    </row>
    <row r="1629" spans="7:7" x14ac:dyDescent="0.3">
      <c r="G1629" s="98"/>
    </row>
    <row r="1630" spans="7:7" x14ac:dyDescent="0.3">
      <c r="G1630" s="98"/>
    </row>
    <row r="1631" spans="7:7" x14ac:dyDescent="0.3">
      <c r="G1631" s="98"/>
    </row>
    <row r="1632" spans="7:7" x14ac:dyDescent="0.3">
      <c r="G1632" s="98"/>
    </row>
    <row r="1633" spans="7:7" x14ac:dyDescent="0.3">
      <c r="G1633" s="98"/>
    </row>
    <row r="1634" spans="7:7" x14ac:dyDescent="0.3">
      <c r="G1634" s="98"/>
    </row>
    <row r="1635" spans="7:7" x14ac:dyDescent="0.3">
      <c r="G1635" s="98"/>
    </row>
    <row r="1636" spans="7:7" x14ac:dyDescent="0.3">
      <c r="G1636" s="98"/>
    </row>
    <row r="1637" spans="7:7" x14ac:dyDescent="0.3">
      <c r="G1637" s="98"/>
    </row>
    <row r="1638" spans="7:7" x14ac:dyDescent="0.3">
      <c r="G1638" s="98"/>
    </row>
    <row r="1639" spans="7:7" x14ac:dyDescent="0.3">
      <c r="G1639" s="98"/>
    </row>
    <row r="1640" spans="7:7" x14ac:dyDescent="0.3">
      <c r="G1640" s="98"/>
    </row>
    <row r="1641" spans="7:7" x14ac:dyDescent="0.3">
      <c r="G1641" s="98"/>
    </row>
    <row r="1642" spans="7:7" x14ac:dyDescent="0.3">
      <c r="G1642" s="98"/>
    </row>
    <row r="1643" spans="7:7" x14ac:dyDescent="0.3">
      <c r="G1643" s="98"/>
    </row>
    <row r="1644" spans="7:7" x14ac:dyDescent="0.3">
      <c r="G1644" s="98"/>
    </row>
    <row r="1645" spans="7:7" x14ac:dyDescent="0.3">
      <c r="G1645" s="98"/>
    </row>
    <row r="1646" spans="7:7" x14ac:dyDescent="0.3">
      <c r="G1646" s="98"/>
    </row>
    <row r="1647" spans="7:7" x14ac:dyDescent="0.3">
      <c r="G1647" s="98"/>
    </row>
    <row r="1648" spans="7:7" x14ac:dyDescent="0.3">
      <c r="G1648" s="98"/>
    </row>
    <row r="1649" spans="7:7" x14ac:dyDescent="0.3">
      <c r="G1649" s="98"/>
    </row>
    <row r="1650" spans="7:7" x14ac:dyDescent="0.3">
      <c r="G1650" s="98"/>
    </row>
    <row r="1651" spans="7:7" x14ac:dyDescent="0.3">
      <c r="G1651" s="98"/>
    </row>
    <row r="1652" spans="7:7" x14ac:dyDescent="0.3">
      <c r="G1652" s="98"/>
    </row>
    <row r="1653" spans="7:7" x14ac:dyDescent="0.3">
      <c r="G1653" s="98"/>
    </row>
    <row r="1654" spans="7:7" x14ac:dyDescent="0.3">
      <c r="G1654" s="98"/>
    </row>
    <row r="1655" spans="7:7" x14ac:dyDescent="0.3">
      <c r="G1655" s="98"/>
    </row>
    <row r="1656" spans="7:7" x14ac:dyDescent="0.3">
      <c r="G1656" s="98"/>
    </row>
    <row r="1657" spans="7:7" x14ac:dyDescent="0.3">
      <c r="G1657" s="98"/>
    </row>
    <row r="1658" spans="7:7" x14ac:dyDescent="0.3">
      <c r="G1658" s="98"/>
    </row>
    <row r="1659" spans="7:7" x14ac:dyDescent="0.3">
      <c r="G1659" s="98"/>
    </row>
    <row r="1660" spans="7:7" x14ac:dyDescent="0.3">
      <c r="G1660" s="98"/>
    </row>
    <row r="1661" spans="7:7" x14ac:dyDescent="0.3">
      <c r="G1661" s="98"/>
    </row>
    <row r="1662" spans="7:7" x14ac:dyDescent="0.3">
      <c r="G1662" s="98"/>
    </row>
    <row r="1663" spans="7:7" x14ac:dyDescent="0.3">
      <c r="G1663" s="98"/>
    </row>
    <row r="1664" spans="7:7" x14ac:dyDescent="0.3">
      <c r="G1664" s="98"/>
    </row>
    <row r="1665" spans="7:7" x14ac:dyDescent="0.3">
      <c r="G1665" s="98"/>
    </row>
    <row r="1666" spans="7:7" x14ac:dyDescent="0.3">
      <c r="G1666" s="98"/>
    </row>
    <row r="1667" spans="7:7" x14ac:dyDescent="0.3">
      <c r="G1667" s="98"/>
    </row>
    <row r="1668" spans="7:7" x14ac:dyDescent="0.3">
      <c r="G1668" s="98"/>
    </row>
    <row r="1669" spans="7:7" x14ac:dyDescent="0.3">
      <c r="G1669" s="98"/>
    </row>
    <row r="1670" spans="7:7" x14ac:dyDescent="0.3">
      <c r="G1670" s="98"/>
    </row>
    <row r="1671" spans="7:7" x14ac:dyDescent="0.3">
      <c r="G1671" s="98"/>
    </row>
    <row r="1672" spans="7:7" x14ac:dyDescent="0.3">
      <c r="G1672" s="98"/>
    </row>
    <row r="1673" spans="7:7" x14ac:dyDescent="0.3">
      <c r="G1673" s="98"/>
    </row>
    <row r="1674" spans="7:7" x14ac:dyDescent="0.3">
      <c r="G1674" s="98"/>
    </row>
    <row r="1675" spans="7:7" x14ac:dyDescent="0.3">
      <c r="G1675" s="98"/>
    </row>
    <row r="1676" spans="7:7" x14ac:dyDescent="0.3">
      <c r="G1676" s="98"/>
    </row>
    <row r="1677" spans="7:7" x14ac:dyDescent="0.3">
      <c r="G1677" s="98"/>
    </row>
    <row r="1678" spans="7:7" x14ac:dyDescent="0.3">
      <c r="G1678" s="98"/>
    </row>
    <row r="1679" spans="7:7" x14ac:dyDescent="0.3">
      <c r="G1679" s="98"/>
    </row>
    <row r="1680" spans="7:7" x14ac:dyDescent="0.3">
      <c r="G1680" s="98"/>
    </row>
    <row r="1681" spans="7:7" x14ac:dyDescent="0.3">
      <c r="G1681" s="98"/>
    </row>
    <row r="1682" spans="7:7" x14ac:dyDescent="0.3">
      <c r="G1682" s="98"/>
    </row>
    <row r="1683" spans="7:7" x14ac:dyDescent="0.3">
      <c r="G1683" s="98"/>
    </row>
    <row r="1684" spans="7:7" x14ac:dyDescent="0.3">
      <c r="G1684" s="98"/>
    </row>
    <row r="1685" spans="7:7" x14ac:dyDescent="0.3">
      <c r="G1685" s="98"/>
    </row>
    <row r="1686" spans="7:7" x14ac:dyDescent="0.3">
      <c r="G1686" s="98"/>
    </row>
    <row r="1687" spans="7:7" x14ac:dyDescent="0.3">
      <c r="G1687" s="98"/>
    </row>
    <row r="1688" spans="7:7" x14ac:dyDescent="0.3">
      <c r="G1688" s="98"/>
    </row>
    <row r="1689" spans="7:7" x14ac:dyDescent="0.3">
      <c r="G1689" s="98"/>
    </row>
    <row r="1690" spans="7:7" x14ac:dyDescent="0.3">
      <c r="G1690" s="98"/>
    </row>
    <row r="1691" spans="7:7" x14ac:dyDescent="0.3">
      <c r="G1691" s="98"/>
    </row>
    <row r="1692" spans="7:7" x14ac:dyDescent="0.3">
      <c r="G1692" s="98"/>
    </row>
    <row r="1693" spans="7:7" x14ac:dyDescent="0.3">
      <c r="G1693" s="98"/>
    </row>
    <row r="1694" spans="7:7" x14ac:dyDescent="0.3">
      <c r="G1694" s="98"/>
    </row>
    <row r="1695" spans="7:7" x14ac:dyDescent="0.3">
      <c r="G1695" s="98"/>
    </row>
    <row r="1696" spans="7:7" x14ac:dyDescent="0.3">
      <c r="G1696" s="98"/>
    </row>
    <row r="1697" spans="7:7" x14ac:dyDescent="0.3">
      <c r="G1697" s="98"/>
    </row>
    <row r="1698" spans="7:7" x14ac:dyDescent="0.3">
      <c r="G1698" s="98"/>
    </row>
    <row r="1699" spans="7:7" x14ac:dyDescent="0.3">
      <c r="G1699" s="98"/>
    </row>
    <row r="1700" spans="7:7" x14ac:dyDescent="0.3">
      <c r="G1700" s="98"/>
    </row>
    <row r="1701" spans="7:7" x14ac:dyDescent="0.3">
      <c r="G1701" s="98"/>
    </row>
    <row r="1702" spans="7:7" x14ac:dyDescent="0.3">
      <c r="G1702" s="98"/>
    </row>
    <row r="1703" spans="7:7" x14ac:dyDescent="0.3">
      <c r="G1703" s="98"/>
    </row>
    <row r="1704" spans="7:7" x14ac:dyDescent="0.3">
      <c r="G1704" s="98"/>
    </row>
    <row r="1705" spans="7:7" x14ac:dyDescent="0.3">
      <c r="G1705" s="98"/>
    </row>
    <row r="1706" spans="7:7" x14ac:dyDescent="0.3">
      <c r="G1706" s="98"/>
    </row>
    <row r="1707" spans="7:7" x14ac:dyDescent="0.3">
      <c r="G1707" s="98"/>
    </row>
    <row r="1708" spans="7:7" x14ac:dyDescent="0.3">
      <c r="G1708" s="98"/>
    </row>
    <row r="1709" spans="7:7" x14ac:dyDescent="0.3">
      <c r="G1709" s="98"/>
    </row>
    <row r="1710" spans="7:7" x14ac:dyDescent="0.3">
      <c r="G1710" s="98"/>
    </row>
    <row r="1711" spans="7:7" x14ac:dyDescent="0.3">
      <c r="G1711" s="98"/>
    </row>
    <row r="1712" spans="7:7" x14ac:dyDescent="0.3">
      <c r="G1712" s="98"/>
    </row>
    <row r="1713" spans="7:7" x14ac:dyDescent="0.3">
      <c r="G1713" s="98"/>
    </row>
    <row r="1714" spans="7:7" x14ac:dyDescent="0.3">
      <c r="G1714" s="98"/>
    </row>
    <row r="1715" spans="7:7" x14ac:dyDescent="0.3">
      <c r="G1715" s="98"/>
    </row>
    <row r="1716" spans="7:7" x14ac:dyDescent="0.3">
      <c r="G1716" s="98"/>
    </row>
    <row r="1717" spans="7:7" x14ac:dyDescent="0.3">
      <c r="G1717" s="98"/>
    </row>
    <row r="1718" spans="7:7" x14ac:dyDescent="0.3">
      <c r="G1718" s="98"/>
    </row>
    <row r="1719" spans="7:7" x14ac:dyDescent="0.3">
      <c r="G1719" s="98"/>
    </row>
    <row r="1720" spans="7:7" x14ac:dyDescent="0.3">
      <c r="G1720" s="98"/>
    </row>
    <row r="1721" spans="7:7" x14ac:dyDescent="0.3">
      <c r="G1721" s="98"/>
    </row>
    <row r="1722" spans="7:7" x14ac:dyDescent="0.3">
      <c r="G1722" s="98"/>
    </row>
    <row r="1723" spans="7:7" x14ac:dyDescent="0.3">
      <c r="G1723" s="98"/>
    </row>
    <row r="1724" spans="7:7" x14ac:dyDescent="0.3">
      <c r="G1724" s="98"/>
    </row>
    <row r="1725" spans="7:7" x14ac:dyDescent="0.3">
      <c r="G1725" s="98"/>
    </row>
    <row r="1726" spans="7:7" x14ac:dyDescent="0.3">
      <c r="G1726" s="98"/>
    </row>
    <row r="1727" spans="7:7" x14ac:dyDescent="0.3">
      <c r="G1727" s="98"/>
    </row>
    <row r="1728" spans="7:7" x14ac:dyDescent="0.3">
      <c r="G1728" s="98"/>
    </row>
    <row r="1729" spans="7:7" x14ac:dyDescent="0.3">
      <c r="G1729" s="98"/>
    </row>
    <row r="1730" spans="7:7" x14ac:dyDescent="0.3">
      <c r="G1730" s="98"/>
    </row>
    <row r="1731" spans="7:7" x14ac:dyDescent="0.3">
      <c r="G1731" s="98"/>
    </row>
    <row r="1732" spans="7:7" x14ac:dyDescent="0.3">
      <c r="G1732" s="98"/>
    </row>
    <row r="1733" spans="7:7" x14ac:dyDescent="0.3">
      <c r="G1733" s="98"/>
    </row>
    <row r="1734" spans="7:7" x14ac:dyDescent="0.3">
      <c r="G1734" s="98"/>
    </row>
    <row r="1735" spans="7:7" x14ac:dyDescent="0.3">
      <c r="G1735" s="98"/>
    </row>
    <row r="1736" spans="7:7" x14ac:dyDescent="0.3">
      <c r="G1736" s="98"/>
    </row>
    <row r="1737" spans="7:7" x14ac:dyDescent="0.3">
      <c r="G1737" s="98"/>
    </row>
    <row r="1738" spans="7:7" x14ac:dyDescent="0.3">
      <c r="G1738" s="98"/>
    </row>
    <row r="1739" spans="7:7" x14ac:dyDescent="0.3">
      <c r="G1739" s="98"/>
    </row>
    <row r="1740" spans="7:7" x14ac:dyDescent="0.3">
      <c r="G1740" s="98"/>
    </row>
    <row r="1741" spans="7:7" x14ac:dyDescent="0.3">
      <c r="G1741" s="98"/>
    </row>
    <row r="1742" spans="7:7" x14ac:dyDescent="0.3">
      <c r="G1742" s="98"/>
    </row>
    <row r="1743" spans="7:7" x14ac:dyDescent="0.3">
      <c r="G1743" s="98"/>
    </row>
    <row r="1744" spans="7:7" x14ac:dyDescent="0.3">
      <c r="G1744" s="98"/>
    </row>
    <row r="1745" spans="7:7" x14ac:dyDescent="0.3">
      <c r="G1745" s="98"/>
    </row>
    <row r="1746" spans="7:7" x14ac:dyDescent="0.3">
      <c r="G1746" s="98"/>
    </row>
    <row r="1747" spans="7:7" x14ac:dyDescent="0.3">
      <c r="G1747" s="98"/>
    </row>
    <row r="1748" spans="7:7" x14ac:dyDescent="0.3">
      <c r="G1748" s="98"/>
    </row>
    <row r="1749" spans="7:7" x14ac:dyDescent="0.3">
      <c r="G1749" s="98"/>
    </row>
    <row r="1750" spans="7:7" x14ac:dyDescent="0.3">
      <c r="G1750" s="98"/>
    </row>
    <row r="1751" spans="7:7" x14ac:dyDescent="0.3">
      <c r="G1751" s="98"/>
    </row>
    <row r="1752" spans="7:7" x14ac:dyDescent="0.3">
      <c r="G1752" s="98"/>
    </row>
    <row r="1753" spans="7:7" x14ac:dyDescent="0.3">
      <c r="G1753" s="98"/>
    </row>
    <row r="1754" spans="7:7" x14ac:dyDescent="0.3">
      <c r="G1754" s="98"/>
    </row>
    <row r="1755" spans="7:7" x14ac:dyDescent="0.3">
      <c r="G1755" s="98"/>
    </row>
    <row r="1756" spans="7:7" x14ac:dyDescent="0.3">
      <c r="G1756" s="98"/>
    </row>
    <row r="1757" spans="7:7" x14ac:dyDescent="0.3">
      <c r="G1757" s="98"/>
    </row>
    <row r="1758" spans="7:7" x14ac:dyDescent="0.3">
      <c r="G1758" s="98"/>
    </row>
    <row r="1759" spans="7:7" x14ac:dyDescent="0.3">
      <c r="G1759" s="98"/>
    </row>
    <row r="1760" spans="7:7" x14ac:dyDescent="0.3">
      <c r="G1760" s="98"/>
    </row>
    <row r="1761" spans="7:7" x14ac:dyDescent="0.3">
      <c r="G1761" s="98"/>
    </row>
    <row r="1762" spans="7:7" x14ac:dyDescent="0.3">
      <c r="G1762" s="98"/>
    </row>
    <row r="1763" spans="7:7" x14ac:dyDescent="0.3">
      <c r="G1763" s="98"/>
    </row>
    <row r="1764" spans="7:7" x14ac:dyDescent="0.3">
      <c r="G1764" s="98"/>
    </row>
    <row r="1765" spans="7:7" x14ac:dyDescent="0.3">
      <c r="G1765" s="98"/>
    </row>
    <row r="1766" spans="7:7" x14ac:dyDescent="0.3">
      <c r="G1766" s="98"/>
    </row>
    <row r="1767" spans="7:7" x14ac:dyDescent="0.3">
      <c r="G1767" s="98"/>
    </row>
    <row r="1768" spans="7:7" x14ac:dyDescent="0.3">
      <c r="G1768" s="98"/>
    </row>
    <row r="1769" spans="7:7" x14ac:dyDescent="0.3">
      <c r="G1769" s="98"/>
    </row>
    <row r="1770" spans="7:7" x14ac:dyDescent="0.3">
      <c r="G1770" s="98"/>
    </row>
    <row r="1771" spans="7:7" x14ac:dyDescent="0.3">
      <c r="G1771" s="98"/>
    </row>
    <row r="1772" spans="7:7" x14ac:dyDescent="0.3">
      <c r="G1772" s="98"/>
    </row>
    <row r="1773" spans="7:7" x14ac:dyDescent="0.3">
      <c r="G1773" s="98"/>
    </row>
    <row r="1774" spans="7:7" x14ac:dyDescent="0.3">
      <c r="G1774" s="98"/>
    </row>
    <row r="1775" spans="7:7" x14ac:dyDescent="0.3">
      <c r="G1775" s="98"/>
    </row>
    <row r="1776" spans="7:7" x14ac:dyDescent="0.3">
      <c r="G1776" s="98"/>
    </row>
    <row r="1777" spans="7:7" x14ac:dyDescent="0.3">
      <c r="G1777" s="98"/>
    </row>
    <row r="1778" spans="7:7" x14ac:dyDescent="0.3">
      <c r="G1778" s="98"/>
    </row>
    <row r="1779" spans="7:7" x14ac:dyDescent="0.3">
      <c r="G1779" s="98"/>
    </row>
    <row r="1780" spans="7:7" x14ac:dyDescent="0.3">
      <c r="G1780" s="98"/>
    </row>
    <row r="1781" spans="7:7" x14ac:dyDescent="0.3">
      <c r="G1781" s="98"/>
    </row>
    <row r="1782" spans="7:7" x14ac:dyDescent="0.3">
      <c r="G1782" s="98"/>
    </row>
    <row r="1783" spans="7:7" x14ac:dyDescent="0.3">
      <c r="G1783" s="98"/>
    </row>
    <row r="1784" spans="7:7" x14ac:dyDescent="0.3">
      <c r="G1784" s="98"/>
    </row>
    <row r="1785" spans="7:7" x14ac:dyDescent="0.3">
      <c r="G1785" s="98"/>
    </row>
    <row r="1786" spans="7:7" x14ac:dyDescent="0.3">
      <c r="G1786" s="98"/>
    </row>
    <row r="1787" spans="7:7" x14ac:dyDescent="0.3">
      <c r="G1787" s="98"/>
    </row>
    <row r="1788" spans="7:7" x14ac:dyDescent="0.3">
      <c r="G1788" s="98"/>
    </row>
    <row r="1789" spans="7:7" x14ac:dyDescent="0.3">
      <c r="G1789" s="98"/>
    </row>
    <row r="1790" spans="7:7" x14ac:dyDescent="0.3">
      <c r="G1790" s="98"/>
    </row>
    <row r="1791" spans="7:7" x14ac:dyDescent="0.3">
      <c r="G1791" s="98"/>
    </row>
    <row r="1792" spans="7:7" x14ac:dyDescent="0.3">
      <c r="G1792" s="98"/>
    </row>
    <row r="1793" spans="7:7" x14ac:dyDescent="0.3">
      <c r="G1793" s="98"/>
    </row>
    <row r="1794" spans="7:7" x14ac:dyDescent="0.3">
      <c r="G1794" s="98"/>
    </row>
    <row r="1795" spans="7:7" x14ac:dyDescent="0.3">
      <c r="G1795" s="98"/>
    </row>
    <row r="1796" spans="7:7" x14ac:dyDescent="0.3">
      <c r="G1796" s="98"/>
    </row>
    <row r="1797" spans="7:7" x14ac:dyDescent="0.3">
      <c r="G1797" s="98"/>
    </row>
    <row r="1798" spans="7:7" x14ac:dyDescent="0.3">
      <c r="G1798" s="98"/>
    </row>
    <row r="1799" spans="7:7" x14ac:dyDescent="0.3">
      <c r="G1799" s="98"/>
    </row>
    <row r="1800" spans="7:7" x14ac:dyDescent="0.3">
      <c r="G1800" s="98"/>
    </row>
    <row r="1801" spans="7:7" x14ac:dyDescent="0.3">
      <c r="G1801" s="98"/>
    </row>
    <row r="1802" spans="7:7" x14ac:dyDescent="0.3">
      <c r="G1802" s="98"/>
    </row>
    <row r="1803" spans="7:7" x14ac:dyDescent="0.3">
      <c r="G1803" s="98"/>
    </row>
    <row r="1804" spans="7:7" x14ac:dyDescent="0.3">
      <c r="G1804" s="98"/>
    </row>
    <row r="1805" spans="7:7" x14ac:dyDescent="0.3">
      <c r="G1805" s="98"/>
    </row>
    <row r="1806" spans="7:7" x14ac:dyDescent="0.3">
      <c r="G1806" s="98"/>
    </row>
    <row r="1807" spans="7:7" x14ac:dyDescent="0.3">
      <c r="G1807" s="98"/>
    </row>
    <row r="1808" spans="7:7" x14ac:dyDescent="0.3">
      <c r="G1808" s="98"/>
    </row>
    <row r="1809" spans="7:7" x14ac:dyDescent="0.3">
      <c r="G1809" s="98"/>
    </row>
    <row r="1810" spans="7:7" x14ac:dyDescent="0.3">
      <c r="G1810" s="98"/>
    </row>
    <row r="1811" spans="7:7" x14ac:dyDescent="0.3">
      <c r="G1811" s="98"/>
    </row>
    <row r="1812" spans="7:7" x14ac:dyDescent="0.3">
      <c r="G1812" s="98"/>
    </row>
    <row r="1813" spans="7:7" x14ac:dyDescent="0.3">
      <c r="G1813" s="98"/>
    </row>
    <row r="1814" spans="7:7" x14ac:dyDescent="0.3">
      <c r="G1814" s="98"/>
    </row>
    <row r="1815" spans="7:7" x14ac:dyDescent="0.3">
      <c r="G1815" s="98"/>
    </row>
    <row r="1816" spans="7:7" x14ac:dyDescent="0.3">
      <c r="G1816" s="98"/>
    </row>
    <row r="1817" spans="7:7" x14ac:dyDescent="0.3">
      <c r="G1817" s="98"/>
    </row>
    <row r="1818" spans="7:7" x14ac:dyDescent="0.3">
      <c r="G1818" s="98"/>
    </row>
    <row r="1819" spans="7:7" x14ac:dyDescent="0.3">
      <c r="G1819" s="98"/>
    </row>
    <row r="1820" spans="7:7" x14ac:dyDescent="0.3">
      <c r="G1820" s="98"/>
    </row>
    <row r="1821" spans="7:7" x14ac:dyDescent="0.3">
      <c r="G1821" s="98"/>
    </row>
    <row r="1822" spans="7:7" x14ac:dyDescent="0.3">
      <c r="G1822" s="98"/>
    </row>
    <row r="1823" spans="7:7" x14ac:dyDescent="0.3">
      <c r="G1823" s="98"/>
    </row>
    <row r="1824" spans="7:7" x14ac:dyDescent="0.3">
      <c r="G1824" s="98"/>
    </row>
    <row r="1825" spans="7:7" x14ac:dyDescent="0.3">
      <c r="G1825" s="98"/>
    </row>
    <row r="1826" spans="7:7" x14ac:dyDescent="0.3">
      <c r="G1826" s="98"/>
    </row>
    <row r="1827" spans="7:7" x14ac:dyDescent="0.3">
      <c r="G1827" s="98"/>
    </row>
    <row r="1828" spans="7:7" x14ac:dyDescent="0.3">
      <c r="G1828" s="98"/>
    </row>
    <row r="1829" spans="7:7" x14ac:dyDescent="0.3">
      <c r="G1829" s="98"/>
    </row>
    <row r="1830" spans="7:7" x14ac:dyDescent="0.3">
      <c r="G1830" s="98"/>
    </row>
    <row r="1831" spans="7:7" x14ac:dyDescent="0.3">
      <c r="G1831" s="98"/>
    </row>
    <row r="1832" spans="7:7" x14ac:dyDescent="0.3">
      <c r="G1832" s="98"/>
    </row>
    <row r="1833" spans="7:7" x14ac:dyDescent="0.3">
      <c r="G1833" s="98"/>
    </row>
    <row r="1834" spans="7:7" x14ac:dyDescent="0.3">
      <c r="G1834" s="98"/>
    </row>
    <row r="1835" spans="7:7" x14ac:dyDescent="0.3">
      <c r="G1835" s="98"/>
    </row>
    <row r="1836" spans="7:7" x14ac:dyDescent="0.3">
      <c r="G1836" s="98"/>
    </row>
    <row r="1837" spans="7:7" x14ac:dyDescent="0.3">
      <c r="G1837" s="98"/>
    </row>
    <row r="1838" spans="7:7" x14ac:dyDescent="0.3">
      <c r="G1838" s="98"/>
    </row>
    <row r="1839" spans="7:7" x14ac:dyDescent="0.3">
      <c r="G1839" s="98"/>
    </row>
    <row r="1840" spans="7:7" x14ac:dyDescent="0.3">
      <c r="G1840" s="98"/>
    </row>
    <row r="1841" spans="7:7" x14ac:dyDescent="0.3">
      <c r="G1841" s="98"/>
    </row>
    <row r="1842" spans="7:7" x14ac:dyDescent="0.3">
      <c r="G1842" s="98"/>
    </row>
    <row r="1843" spans="7:7" x14ac:dyDescent="0.3">
      <c r="G1843" s="98"/>
    </row>
    <row r="1844" spans="7:7" x14ac:dyDescent="0.3">
      <c r="G1844" s="98"/>
    </row>
    <row r="1845" spans="7:7" x14ac:dyDescent="0.3">
      <c r="G1845" s="98"/>
    </row>
    <row r="1846" spans="7:7" x14ac:dyDescent="0.3">
      <c r="G1846" s="98"/>
    </row>
    <row r="1847" spans="7:7" x14ac:dyDescent="0.3">
      <c r="G1847" s="98"/>
    </row>
    <row r="1848" spans="7:7" x14ac:dyDescent="0.3">
      <c r="G1848" s="98"/>
    </row>
    <row r="1849" spans="7:7" x14ac:dyDescent="0.3">
      <c r="G1849" s="98"/>
    </row>
    <row r="1850" spans="7:7" x14ac:dyDescent="0.3">
      <c r="G1850" s="98"/>
    </row>
    <row r="1851" spans="7:7" x14ac:dyDescent="0.3">
      <c r="G1851" s="98"/>
    </row>
    <row r="1852" spans="7:7" x14ac:dyDescent="0.3">
      <c r="G1852" s="98"/>
    </row>
    <row r="1853" spans="7:7" x14ac:dyDescent="0.3">
      <c r="G1853" s="98"/>
    </row>
    <row r="1854" spans="7:7" x14ac:dyDescent="0.3">
      <c r="G1854" s="98"/>
    </row>
    <row r="1855" spans="7:7" x14ac:dyDescent="0.3">
      <c r="G1855" s="98"/>
    </row>
    <row r="1856" spans="7:7" x14ac:dyDescent="0.3">
      <c r="G1856" s="98"/>
    </row>
    <row r="1857" spans="7:7" x14ac:dyDescent="0.3">
      <c r="G1857" s="98"/>
    </row>
    <row r="1858" spans="7:7" x14ac:dyDescent="0.3">
      <c r="G1858" s="98"/>
    </row>
    <row r="1859" spans="7:7" x14ac:dyDescent="0.3">
      <c r="G1859" s="98"/>
    </row>
    <row r="1860" spans="7:7" x14ac:dyDescent="0.3">
      <c r="G1860" s="98"/>
    </row>
    <row r="1861" spans="7:7" x14ac:dyDescent="0.3">
      <c r="G1861" s="98"/>
    </row>
    <row r="1862" spans="7:7" x14ac:dyDescent="0.3">
      <c r="G1862" s="98"/>
    </row>
    <row r="1863" spans="7:7" x14ac:dyDescent="0.3">
      <c r="G1863" s="98"/>
    </row>
    <row r="1864" spans="7:7" x14ac:dyDescent="0.3">
      <c r="G1864" s="98"/>
    </row>
    <row r="1865" spans="7:7" x14ac:dyDescent="0.3">
      <c r="G1865" s="98"/>
    </row>
    <row r="1866" spans="7:7" x14ac:dyDescent="0.3">
      <c r="G1866" s="98"/>
    </row>
    <row r="1867" spans="7:7" x14ac:dyDescent="0.3">
      <c r="G1867" s="98"/>
    </row>
    <row r="1868" spans="7:7" x14ac:dyDescent="0.3">
      <c r="G1868" s="98"/>
    </row>
    <row r="1869" spans="7:7" x14ac:dyDescent="0.3">
      <c r="G1869" s="98"/>
    </row>
  </sheetData>
  <mergeCells count="1">
    <mergeCell ref="B16:F16"/>
  </mergeCells>
  <dataValidations count="1">
    <dataValidation type="list" operator="greaterThanOrEqual" allowBlank="1" showInputMessage="1" showErrorMessage="1" sqref="C2" xr:uid="{66D0B7CC-3464-4F99-8A74-54C6BBE72EAC}">
      <formula1>"Yes, No"</formula1>
    </dataValidation>
  </dataValidations>
  <hyperlinks>
    <hyperlink ref="G4" location="'Excel Output'!C52" display="Return button" xr:uid="{370AB137-D858-4DBD-9986-A92D85264C9D}"/>
    <hyperlink ref="G16" location="'Excel Output'!C53" display="Return button" xr:uid="{8A0270E1-1F01-4DBF-A362-8342EDA433B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9ED5-A316-42E9-A17B-40CE12D15E54}">
  <sheetPr codeName="Sheet20">
    <tabColor theme="4" tint="0.39997558519241921"/>
  </sheetPr>
  <dimension ref="B1:I21"/>
  <sheetViews>
    <sheetView showGridLines="0" zoomScale="90" zoomScaleNormal="90" workbookViewId="0">
      <selection activeCell="C38" sqref="C38"/>
    </sheetView>
  </sheetViews>
  <sheetFormatPr defaultColWidth="14.44140625" defaultRowHeight="18" customHeight="1" x14ac:dyDescent="0.3"/>
  <cols>
    <col min="1" max="1" width="7.21875" customWidth="1"/>
    <col min="2" max="2" width="45.44140625" bestFit="1" customWidth="1"/>
    <col min="3" max="8" width="16.77734375" customWidth="1"/>
    <col min="9" max="9" width="5.44140625" customWidth="1"/>
    <col min="10" max="10" width="13.21875" customWidth="1"/>
    <col min="11" max="11" width="5.44140625" customWidth="1"/>
    <col min="12" max="12" width="22.21875" customWidth="1"/>
    <col min="14" max="14" width="15.77734375" bestFit="1" customWidth="1"/>
  </cols>
  <sheetData>
    <row r="1" spans="2:8" ht="18" customHeight="1" x14ac:dyDescent="0.3">
      <c r="B1" s="1"/>
    </row>
    <row r="2" spans="2:8" ht="14.4" x14ac:dyDescent="0.3"/>
    <row r="5" spans="2:8" ht="14.4" x14ac:dyDescent="0.3"/>
    <row r="6" spans="2:8" ht="18" customHeight="1" x14ac:dyDescent="0.3">
      <c r="F6" s="61" t="e">
        <f>IF(#REF!&lt;=3,"hide column","show column")</f>
        <v>#REF!</v>
      </c>
      <c r="G6" s="61" t="e">
        <f>IF(#REF!&lt;=4,"hide column","show column")</f>
        <v>#REF!</v>
      </c>
    </row>
    <row r="7" spans="2:8" x14ac:dyDescent="0.35">
      <c r="B7" s="24" t="s">
        <v>16</v>
      </c>
      <c r="C7" s="24"/>
      <c r="D7" s="24"/>
      <c r="E7" s="24"/>
      <c r="F7" s="24"/>
      <c r="G7" s="24"/>
      <c r="H7" s="24"/>
    </row>
    <row r="8" spans="2:8" ht="18" customHeight="1" thickBot="1" x14ac:dyDescent="0.35"/>
    <row r="9" spans="2:8" ht="14.4" x14ac:dyDescent="0.3">
      <c r="B9" s="36" t="s">
        <v>170</v>
      </c>
      <c r="C9" s="35" t="s">
        <v>9</v>
      </c>
      <c r="D9" s="35" t="s">
        <v>10</v>
      </c>
      <c r="E9" s="35" t="s">
        <v>11</v>
      </c>
      <c r="F9" s="35" t="e">
        <f>IF(#REF!&gt;3,"Year 4","")</f>
        <v>#REF!</v>
      </c>
      <c r="G9" s="35" t="e">
        <f>IF(#REF!&gt;4,"Year 5","")</f>
        <v>#REF!</v>
      </c>
      <c r="H9" s="34" t="s">
        <v>17</v>
      </c>
    </row>
    <row r="10" spans="2:8" ht="14.4" x14ac:dyDescent="0.3">
      <c r="B10" s="22" t="s">
        <v>18</v>
      </c>
      <c r="C10" s="153"/>
      <c r="D10" s="153"/>
      <c r="E10" s="153"/>
      <c r="F10" s="153"/>
      <c r="G10" s="153"/>
      <c r="H10" s="137">
        <f>SUM(C10:G10)</f>
        <v>0</v>
      </c>
    </row>
    <row r="11" spans="2:8" ht="14.4" x14ac:dyDescent="0.3">
      <c r="B11" s="22" t="s">
        <v>131</v>
      </c>
      <c r="C11" s="153"/>
      <c r="D11" s="153"/>
      <c r="E11" s="153"/>
      <c r="F11" s="153"/>
      <c r="G11" s="153"/>
      <c r="H11" s="137">
        <f>SUM(C11:G11)</f>
        <v>0</v>
      </c>
    </row>
    <row r="12" spans="2:8" ht="14.4" x14ac:dyDescent="0.3">
      <c r="B12" s="22" t="s">
        <v>19</v>
      </c>
      <c r="C12" s="153"/>
      <c r="D12" s="153"/>
      <c r="E12" s="153"/>
      <c r="F12" s="153"/>
      <c r="G12" s="153"/>
      <c r="H12" s="137">
        <f>SUM(C12:G12)</f>
        <v>0</v>
      </c>
    </row>
    <row r="13" spans="2:8" ht="14.4" x14ac:dyDescent="0.3">
      <c r="B13" s="22" t="s">
        <v>20</v>
      </c>
      <c r="C13" s="48"/>
      <c r="D13" s="48"/>
      <c r="E13" s="48"/>
      <c r="F13" s="48"/>
      <c r="G13" s="49"/>
      <c r="H13" s="137">
        <f t="shared" ref="H13:H19" si="0">SUM(C13:G13)</f>
        <v>0</v>
      </c>
    </row>
    <row r="14" spans="2:8" ht="14.4" x14ac:dyDescent="0.3">
      <c r="B14" s="22" t="s">
        <v>21</v>
      </c>
      <c r="C14" s="48"/>
      <c r="D14" s="48"/>
      <c r="E14" s="48"/>
      <c r="F14" s="48"/>
      <c r="G14" s="49"/>
      <c r="H14" s="137">
        <f t="shared" si="0"/>
        <v>0</v>
      </c>
    </row>
    <row r="15" spans="2:8" ht="14.4" x14ac:dyDescent="0.3">
      <c r="B15" s="22" t="s">
        <v>22</v>
      </c>
      <c r="C15" s="48"/>
      <c r="D15" s="48"/>
      <c r="E15" s="48"/>
      <c r="F15" s="48"/>
      <c r="G15" s="49"/>
      <c r="H15" s="137">
        <f t="shared" si="0"/>
        <v>0</v>
      </c>
    </row>
    <row r="16" spans="2:8" ht="14.4" x14ac:dyDescent="0.3">
      <c r="B16" s="22" t="s">
        <v>4</v>
      </c>
      <c r="C16" s="48"/>
      <c r="D16" s="48"/>
      <c r="E16" s="48"/>
      <c r="F16" s="48"/>
      <c r="G16" s="49"/>
      <c r="H16" s="137">
        <f t="shared" si="0"/>
        <v>0</v>
      </c>
    </row>
    <row r="17" spans="2:9" ht="14.4" x14ac:dyDescent="0.3">
      <c r="B17" s="22" t="s">
        <v>23</v>
      </c>
      <c r="C17" s="48"/>
      <c r="D17" s="48"/>
      <c r="E17" s="48"/>
      <c r="F17" s="48"/>
      <c r="G17" s="49"/>
      <c r="H17" s="137">
        <f t="shared" si="0"/>
        <v>0</v>
      </c>
      <c r="I17" s="1"/>
    </row>
    <row r="18" spans="2:9" ht="14.4" x14ac:dyDescent="0.3">
      <c r="B18" s="40" t="s">
        <v>24</v>
      </c>
      <c r="C18" s="68"/>
      <c r="D18" s="68"/>
      <c r="E18" s="68"/>
      <c r="F18" s="68"/>
      <c r="G18" s="69"/>
      <c r="H18" s="137">
        <f t="shared" si="0"/>
        <v>0</v>
      </c>
    </row>
    <row r="19" spans="2:9" ht="15" thickBot="1" x14ac:dyDescent="0.35">
      <c r="B19" s="151" t="s">
        <v>95</v>
      </c>
      <c r="C19" s="48"/>
      <c r="D19" s="48"/>
      <c r="E19" s="48"/>
      <c r="F19" s="48"/>
      <c r="G19" s="49"/>
      <c r="H19" s="137">
        <f t="shared" si="0"/>
        <v>0</v>
      </c>
    </row>
    <row r="20" spans="2:9" ht="15" thickBot="1" x14ac:dyDescent="0.35">
      <c r="B20" s="33" t="s">
        <v>25</v>
      </c>
      <c r="C20" s="32">
        <f>SUM(C10:C19)</f>
        <v>0</v>
      </c>
      <c r="D20" s="32">
        <f t="shared" ref="D20:H20" si="1">SUM(D10:D19)</f>
        <v>0</v>
      </c>
      <c r="E20" s="32">
        <f t="shared" si="1"/>
        <v>0</v>
      </c>
      <c r="F20" s="32">
        <f t="shared" si="1"/>
        <v>0</v>
      </c>
      <c r="G20" s="32">
        <f t="shared" si="1"/>
        <v>0</v>
      </c>
      <c r="H20" s="32">
        <f t="shared" si="1"/>
        <v>0</v>
      </c>
    </row>
    <row r="21" spans="2:9" ht="18" customHeight="1" x14ac:dyDescent="0.3">
      <c r="B21" s="106" t="s">
        <v>168</v>
      </c>
    </row>
  </sheetData>
  <dataValidations count="1">
    <dataValidation type="list" allowBlank="1" showInputMessage="1" showErrorMessage="1" sqref="B19" xr:uid="{7791E318-AC0A-405F-AF3E-4D8F1E10A769}">
      <formula1>"User Defined"</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8FCD-017A-48F5-8400-DDCAEC28DBC0}">
  <sheetPr codeName="Sheet15">
    <tabColor theme="1"/>
  </sheetPr>
  <dimension ref="A1:Z162"/>
  <sheetViews>
    <sheetView showGridLines="0" topLeftCell="A133" zoomScale="70" zoomScaleNormal="70" workbookViewId="0">
      <selection activeCell="C161" sqref="C161"/>
    </sheetView>
  </sheetViews>
  <sheetFormatPr defaultColWidth="9.21875" defaultRowHeight="15.6" x14ac:dyDescent="0.3"/>
  <cols>
    <col min="1" max="1" width="6.44140625" style="94" customWidth="1"/>
    <col min="2" max="2" width="43" style="94" customWidth="1"/>
    <col min="3" max="3" width="14.77734375" style="94" customWidth="1"/>
    <col min="4" max="4" width="29.21875" style="94" customWidth="1"/>
    <col min="5" max="5" width="25.44140625" style="94" customWidth="1"/>
    <col min="6" max="15" width="16.77734375" style="94" customWidth="1"/>
    <col min="16" max="16" width="10.88671875" style="94" bestFit="1" customWidth="1"/>
    <col min="17" max="16384" width="9.21875" style="94"/>
  </cols>
  <sheetData>
    <row r="1" spans="1:15" x14ac:dyDescent="0.3">
      <c r="E1" s="129"/>
    </row>
    <row r="2" spans="1:15" ht="16.2" customHeight="1" thickBot="1" x14ac:dyDescent="0.35">
      <c r="A2" s="746"/>
      <c r="B2" s="274" t="s">
        <v>747</v>
      </c>
      <c r="C2" s="582"/>
      <c r="D2" s="582"/>
      <c r="E2" s="284"/>
      <c r="F2" s="284"/>
      <c r="G2" s="284"/>
      <c r="H2" s="284"/>
      <c r="I2" s="284"/>
      <c r="J2" s="284"/>
      <c r="K2" s="284"/>
      <c r="L2" s="284"/>
      <c r="M2" s="284"/>
      <c r="N2" s="284"/>
      <c r="O2" s="284"/>
    </row>
    <row r="3" spans="1:15" ht="16.2" thickTop="1" x14ac:dyDescent="0.3">
      <c r="A3" s="746"/>
      <c r="E3" s="129"/>
    </row>
    <row r="4" spans="1:15" x14ac:dyDescent="0.3">
      <c r="A4" s="746"/>
      <c r="C4" s="205" t="s">
        <v>12</v>
      </c>
      <c r="D4" s="205" t="s">
        <v>13</v>
      </c>
      <c r="E4" s="205" t="s">
        <v>756</v>
      </c>
    </row>
    <row r="5" spans="1:15" x14ac:dyDescent="0.3">
      <c r="A5" s="746"/>
      <c r="B5" s="199" t="s">
        <v>40</v>
      </c>
      <c r="C5" s="209">
        <f>Compute!F12+Compute!F76+Compute!F100</f>
        <v>25000000</v>
      </c>
      <c r="D5" s="209">
        <f>Compute!F24+Compute!F86+Compute!F112</f>
        <v>8937500</v>
      </c>
      <c r="E5" s="209">
        <f>Transition!D11</f>
        <v>8937500</v>
      </c>
    </row>
    <row r="6" spans="1:15" x14ac:dyDescent="0.3">
      <c r="A6" s="746"/>
      <c r="B6" s="199" t="s">
        <v>41</v>
      </c>
      <c r="C6" s="209">
        <f>Storage!F21+Compute!F101</f>
        <v>11964285</v>
      </c>
      <c r="D6" s="209">
        <f>Storage!F34+Compute!F113</f>
        <v>2940000</v>
      </c>
      <c r="E6" s="209">
        <f>Transition!D12</f>
        <v>2940000</v>
      </c>
    </row>
    <row r="7" spans="1:15" x14ac:dyDescent="0.3">
      <c r="A7" s="746"/>
      <c r="B7" s="199" t="s">
        <v>182</v>
      </c>
      <c r="C7" s="209">
        <f>Network!F11+Network!F29+Network!F51+Compute!F102</f>
        <v>2500000</v>
      </c>
      <c r="D7" s="209">
        <f>Network!F19+Network!F34+Network!F56+Compute!F114</f>
        <v>893750</v>
      </c>
      <c r="E7" s="209">
        <f>Transition!D13</f>
        <v>893750</v>
      </c>
    </row>
    <row r="8" spans="1:15" x14ac:dyDescent="0.3">
      <c r="A8" s="746"/>
      <c r="B8" s="199" t="s">
        <v>149</v>
      </c>
      <c r="C8" s="209">
        <f>Software!F7+Software!F18+Software!F30</f>
        <v>2762815.625</v>
      </c>
      <c r="D8" s="209">
        <f>Software!F10+Software!F21+Software!F34+'ROI Results'!O37</f>
        <v>8881408</v>
      </c>
      <c r="E8" s="209">
        <f>Transition!D14</f>
        <v>10000000</v>
      </c>
    </row>
    <row r="9" spans="1:15" x14ac:dyDescent="0.3">
      <c r="A9" s="746"/>
      <c r="B9" s="199" t="s">
        <v>183</v>
      </c>
      <c r="C9" s="209">
        <f>Facilities!F13</f>
        <v>24128000</v>
      </c>
      <c r="D9" s="209">
        <f>Facilities!F21</f>
        <v>7763470</v>
      </c>
      <c r="E9" s="209">
        <f>Transition!D15</f>
        <v>7763470</v>
      </c>
    </row>
    <row r="10" spans="1:15" x14ac:dyDescent="0.3">
      <c r="A10" s="746"/>
      <c r="B10" s="199" t="s">
        <v>136</v>
      </c>
      <c r="C10" s="209">
        <f ca="1">Labor!F127</f>
        <v>44760534.971749999</v>
      </c>
      <c r="D10" s="209">
        <f ca="1">Labor!F128</f>
        <v>23764409.306875002</v>
      </c>
      <c r="E10" s="209">
        <f ca="1">Transition!D16</f>
        <v>23764409.306875002</v>
      </c>
    </row>
    <row r="11" spans="1:15" x14ac:dyDescent="0.3">
      <c r="A11" s="746"/>
      <c r="B11" s="199" t="s">
        <v>184</v>
      </c>
      <c r="C11" s="209">
        <f>Support!F7</f>
        <v>1250000</v>
      </c>
      <c r="D11" s="209">
        <f>Support!F10+'ROI Results'!O40</f>
        <v>1375000</v>
      </c>
      <c r="E11" s="209">
        <f>Transition!D17</f>
        <v>750000</v>
      </c>
    </row>
    <row r="12" spans="1:15" x14ac:dyDescent="0.3">
      <c r="A12" s="746"/>
      <c r="B12" s="199" t="s">
        <v>185</v>
      </c>
      <c r="C12" s="209">
        <f ca="1">'Migration - Reskilling'!F11</f>
        <v>4875000</v>
      </c>
      <c r="D12" s="209">
        <f ca="1">'Migration - Reskilling'!F14</f>
        <v>1218750</v>
      </c>
      <c r="E12" s="209">
        <f ca="1">Transition!D18</f>
        <v>1218750</v>
      </c>
    </row>
    <row r="13" spans="1:15" x14ac:dyDescent="0.3">
      <c r="A13" s="746"/>
      <c r="B13" s="199" t="s">
        <v>427</v>
      </c>
      <c r="C13" s="209">
        <f ca="1">'Migration - Reskilling'!F23</f>
        <v>39000</v>
      </c>
      <c r="D13" s="209">
        <f ca="1">'Migration - Reskilling'!F29</f>
        <v>156000</v>
      </c>
      <c r="E13" s="209">
        <f ca="1">Transition!D19</f>
        <v>156000</v>
      </c>
    </row>
    <row r="14" spans="1:15" x14ac:dyDescent="0.3">
      <c r="A14" s="746"/>
      <c r="B14" s="704" t="s">
        <v>750</v>
      </c>
      <c r="C14" s="907">
        <f ca="1">'Business impact'!F19+'Business impact'!F34+'Business impact'!F54+'Business impact'!F65+'Business impact'!F77</f>
        <v>0</v>
      </c>
      <c r="D14" s="907"/>
      <c r="E14" s="129"/>
    </row>
    <row r="15" spans="1:15" x14ac:dyDescent="0.3">
      <c r="A15" s="746"/>
      <c r="E15" s="129"/>
    </row>
    <row r="16" spans="1:15" ht="16.2" customHeight="1" thickBot="1" x14ac:dyDescent="0.35">
      <c r="B16" s="274" t="s">
        <v>743</v>
      </c>
      <c r="C16" s="582"/>
      <c r="D16" s="582"/>
      <c r="E16" s="284"/>
      <c r="F16" s="284"/>
      <c r="G16" s="284"/>
      <c r="H16" s="284"/>
      <c r="I16" s="284"/>
      <c r="J16" s="284"/>
      <c r="K16" s="284"/>
      <c r="L16" s="284"/>
      <c r="M16" s="284"/>
      <c r="N16" s="284"/>
      <c r="O16" s="284"/>
    </row>
    <row r="17" spans="1:26" customFormat="1" ht="18" customHeight="1" thickTop="1" x14ac:dyDescent="0.3">
      <c r="E17" s="47" t="s">
        <v>221</v>
      </c>
      <c r="P17" s="1"/>
      <c r="Q17" s="52"/>
    </row>
    <row r="18" spans="1:26" customFormat="1" ht="18" customHeight="1" x14ac:dyDescent="0.3">
      <c r="B18" s="58" t="str">
        <f>'ROI Results'!$B$70</f>
        <v>Ongoing current state (TCO)</v>
      </c>
      <c r="C18" s="58"/>
      <c r="D18" s="58"/>
      <c r="E18" s="20" t="s">
        <v>9</v>
      </c>
      <c r="F18" s="20" t="s">
        <v>10</v>
      </c>
      <c r="G18" s="20" t="s">
        <v>11</v>
      </c>
      <c r="H18" s="948">
        <f>IF(AnalysisTerm&gt;3,4,"")</f>
        <v>4</v>
      </c>
      <c r="I18" s="948">
        <f>IF(AnalysisTerm&gt;3,H18+1,"")</f>
        <v>5</v>
      </c>
      <c r="J18" s="948">
        <f>IF(AnalysisTerm&gt;5,I18+1,"")</f>
        <v>6</v>
      </c>
      <c r="K18" s="948">
        <f>IF(AnalysisTerm&gt;5,J18+1,"")</f>
        <v>7</v>
      </c>
      <c r="L18" s="948">
        <f>IF(AnalysisTerm&gt;7,K18+1,"")</f>
        <v>8</v>
      </c>
      <c r="M18" s="948">
        <f>IF(AnalysisTerm&gt;7,L18+1,"")</f>
        <v>9</v>
      </c>
      <c r="N18" s="948">
        <f>IF(AnalysisTerm&gt;7,M18+1,"")</f>
        <v>10</v>
      </c>
      <c r="O18" s="20" t="s">
        <v>17</v>
      </c>
      <c r="P18" s="1"/>
      <c r="Q18" s="52"/>
    </row>
    <row r="19" spans="1:26" customFormat="1" ht="18" customHeight="1" x14ac:dyDescent="0.3">
      <c r="A19" s="941"/>
      <c r="B19" s="904" t="s">
        <v>40</v>
      </c>
      <c r="C19" s="905"/>
      <c r="D19" s="906"/>
      <c r="E19" s="858">
        <f>(Hardware_Refreshcylce+Growth)*'ROI Results'!$C71</f>
        <v>2618750</v>
      </c>
      <c r="F19" s="858">
        <f>((Hardware_Refreshcylce+(1+Growth)^2-(1+Growth))*'ROI Results'!$C71)*(1+Inflation)^1</f>
        <v>2724285.6249999995</v>
      </c>
      <c r="G19" s="858">
        <f>((Hardware_Refreshcylce+(1+Growth)^3-(1+Growth)^2)*'ROI Results'!$C71)*(1+Inflation)^2</f>
        <v>2835185.6284375004</v>
      </c>
      <c r="H19" s="858">
        <f>IF(AnalysisTerm&gt;3,((Hardware_Refreshcylce+(1+Growth)^H$18-(1+Growth)^3)*'ROI Results'!$C71)*(1+Inflation)^3,"")</f>
        <v>2951790.1039051544</v>
      </c>
      <c r="I19" s="858">
        <f>IF(AnalysisTerm&gt;3,((Hardware_Refreshcylce+(1+Growth)^I$18-(1+Growth)^H$18)*'ROI Results'!$C71)*(1+Inflation)^H$18," ")</f>
        <v>3074463.9495259272</v>
      </c>
      <c r="J19" s="858">
        <f>IF(AnalysisTerm&gt;$I$18,((Hardware_Refreshcylce+(1+Growth)^J$18-(1+Growth)^I$18)*'ROI Results'!$C71)*(1+Inflation)^I$18," ")</f>
        <v>3203598.8021293618</v>
      </c>
      <c r="K19" s="858">
        <f>IF(AnalysisTerm&gt;$I$18,((Hardware_Refreshcylce+(1+Growth)^K$18-(1+Growth)^J$18)*'ROI Results'!$C71)*(1+Inflation)^J$18," ")</f>
        <v>3339615.1264414974</v>
      </c>
      <c r="L19" s="858">
        <f>IF(AnalysisTerm&gt;$K$18,((Hardware_Refreshcylce+(1+Growth)^L$18-(1+Growth)^K$18)*'ROI Results'!$C71)*(1+Inflation)^K$18," ")</f>
        <v>3482964.4718432184</v>
      </c>
      <c r="M19" s="858">
        <f>IF(AnalysisTerm&gt;$K$18,((Hardware_Refreshcylce+(1+Growth)^M$18-(1+Growth)^L$18)*'ROI Results'!$C71)*(1+Inflation)^L$18," ")</f>
        <v>3634131.9102730914</v>
      </c>
      <c r="N19" s="858">
        <f>IF(AnalysisTerm&gt;$K$18,((Hardware_Refreshcylce+(1+Growth)^N$18-(1+Growth)^M$18)*'ROI Results'!$C71)*(1+Inflation)^M$18," ")</f>
        <v>3793638.6699542343</v>
      </c>
      <c r="O19" s="858">
        <f>SUM(E19:N19)</f>
        <v>31658424.287509985</v>
      </c>
      <c r="P19" s="759" t="b">
        <f>SUM(E19+E32)='ROI Results'!E71</f>
        <v>1</v>
      </c>
      <c r="Q19" s="759" t="b">
        <f>SUM(F19+F32)='ROI Results'!F71</f>
        <v>1</v>
      </c>
      <c r="R19" s="759" t="b">
        <f>SUM(G19+G32)='ROI Results'!G71</f>
        <v>1</v>
      </c>
      <c r="S19" s="759" t="b">
        <f>SUM(H19+H32)='ROI Results'!H71</f>
        <v>1</v>
      </c>
      <c r="T19" s="759" t="b">
        <f>SUM(I19+I32)='ROI Results'!I71</f>
        <v>1</v>
      </c>
      <c r="U19" s="759" t="b">
        <f>SUM(J19+J32)='ROI Results'!J71</f>
        <v>1</v>
      </c>
      <c r="V19" s="759" t="b">
        <f>SUM(K19+K32)='ROI Results'!K71</f>
        <v>1</v>
      </c>
      <c r="W19" s="759" t="b">
        <f>SUM(L19+L32)='ROI Results'!L71</f>
        <v>1</v>
      </c>
      <c r="X19" s="759" t="b">
        <f>SUM(M19+M32)='ROI Results'!M71</f>
        <v>1</v>
      </c>
      <c r="Y19" s="759" t="b">
        <f>SUM(N19+N32)='ROI Results'!N71</f>
        <v>1</v>
      </c>
      <c r="Z19" s="759" t="b">
        <f>SUM(O19+O32)='ROI Results'!O71</f>
        <v>1</v>
      </c>
    </row>
    <row r="20" spans="1:26" customFormat="1" ht="18" customHeight="1" x14ac:dyDescent="0.3">
      <c r="A20" s="941"/>
      <c r="B20" s="904" t="s">
        <v>41</v>
      </c>
      <c r="C20" s="905"/>
      <c r="D20" s="906"/>
      <c r="E20" s="858">
        <f>(Hardware_Refreshcylce+Growth)*'ROI Results'!$C72</f>
        <v>1196428.5</v>
      </c>
      <c r="F20" s="858">
        <f>((Hardware_Refreshcylce+(1+Growth)^2-(1+Growth))*'ROI Results'!$C72)*(1+Inflation)^1</f>
        <v>1244644.5685499997</v>
      </c>
      <c r="G20" s="858">
        <f>((Hardware_Refreshcylce+(1+Growth)^3-(1+Growth)^2)*'ROI Results'!$C72)*(1+Inflation)^2</f>
        <v>1295311.4610608253</v>
      </c>
      <c r="H20" s="858">
        <f>IF(AnalysisTerm&gt;3,((Hardware_Refreshcylce+(1+Growth)^H$18-(1+Growth)^3)*'ROI Results'!$C72)*(1+Inflation)^3,"")</f>
        <v>1348584.5561165013</v>
      </c>
      <c r="I20" s="858">
        <f>IF(AnalysisTerm&gt;3,((Hardware_Refreshcylce+(1+Growth)^I$18-(1+Growth)^H$18)*'ROI Results'!$C72)*(1+Inflation)^H$18," ")</f>
        <v>1404630.5647485941</v>
      </c>
      <c r="J20" s="858">
        <f>IF(AnalysisTerm&gt;$I$18,((Hardware_Refreshcylce+(1+Growth)^J$18-(1+Growth)^I$18)*'ROI Results'!$C72)*(1+Inflation)^I$18," ")</f>
        <v>1463628.4141034575</v>
      </c>
      <c r="K20" s="858">
        <f>IF(AnalysisTerm&gt;$I$18,((Hardware_Refreshcylce+(1+Growth)^K$18-(1+Growth)^J$18)*'ROI Results'!$C72)*(1+Inflation)^J$18," ")</f>
        <v>1525770.2019305818</v>
      </c>
      <c r="L20" s="858">
        <f>IF(AnalysisTerm&gt;$K$18,((Hardware_Refreshcylce+(1+Growth)^L$18-(1+Growth)^K$18)*'ROI Results'!$C72)*(1+Inflation)^K$18," ")</f>
        <v>1591262.2276279426</v>
      </c>
      <c r="M20" s="858">
        <f>IF(AnalysisTerm&gt;$K$18,((Hardware_Refreshcylce+(1+Growth)^M$18-(1+Growth)^L$18)*'ROI Results'!$C72)*(1+Inflation)^L$18," ")</f>
        <v>1660326.1060468426</v>
      </c>
      <c r="N20" s="858">
        <f>IF(AnalysisTerm&gt;$K$18,((Hardware_Refreshcylce+(1+Growth)^N$18-(1+Growth)^M$18)*'ROI Results'!$C72)*(1+Inflation)^M$18," ")</f>
        <v>1733199.970762898</v>
      </c>
      <c r="O20" s="858">
        <f>SUM(E20:N20)</f>
        <v>14463786.570947643</v>
      </c>
      <c r="P20" s="759" t="b">
        <f>SUM(E20+E33)='ROI Results'!E72</f>
        <v>1</v>
      </c>
      <c r="Q20" s="759" t="b">
        <f>SUM(F20+F33)='ROI Results'!F72</f>
        <v>1</v>
      </c>
      <c r="R20" s="759" t="b">
        <f>SUM(G20+G33)='ROI Results'!G72</f>
        <v>1</v>
      </c>
      <c r="S20" s="759" t="b">
        <f>SUM(H20+H33)='ROI Results'!H72</f>
        <v>1</v>
      </c>
      <c r="T20" s="759" t="b">
        <f>SUM(I20+I33)='ROI Results'!I72</f>
        <v>1</v>
      </c>
      <c r="U20" s="759" t="b">
        <f>SUM(J20+J33)='ROI Results'!J72</f>
        <v>1</v>
      </c>
      <c r="V20" s="759" t="b">
        <f>SUM(K20+K33)='ROI Results'!K72</f>
        <v>1</v>
      </c>
      <c r="W20" s="759" t="b">
        <f>SUM(L20+L33)='ROI Results'!L72</f>
        <v>1</v>
      </c>
      <c r="X20" s="759" t="b">
        <f>SUM(M20+M33)='ROI Results'!M72</f>
        <v>1</v>
      </c>
      <c r="Y20" s="759" t="b">
        <f>SUM(N20+N33)='ROI Results'!N72</f>
        <v>1</v>
      </c>
      <c r="Z20" s="759" t="b">
        <f>SUM(O20+O33)='ROI Results'!O72</f>
        <v>1</v>
      </c>
    </row>
    <row r="21" spans="1:26" customFormat="1" ht="18" customHeight="1" x14ac:dyDescent="0.3">
      <c r="A21" s="941"/>
      <c r="B21" s="904" t="s">
        <v>182</v>
      </c>
      <c r="C21" s="905"/>
      <c r="D21" s="906"/>
      <c r="E21" s="858">
        <f>(Hardware_Refreshcylce+Growth)*'ROI Results'!$C73</f>
        <v>261875</v>
      </c>
      <c r="F21" s="858">
        <f>((Hardware_Refreshcylce+(1+Growth)^2-(1+Growth))*'ROI Results'!$C73)*(1+Inflation)^1</f>
        <v>272428.56249999994</v>
      </c>
      <c r="G21" s="858">
        <f>((Hardware_Refreshcylce+(1+Growth)^3-(1+Growth)^2)*'ROI Results'!$C73)*(1+Inflation)^2</f>
        <v>283518.56284375006</v>
      </c>
      <c r="H21" s="858">
        <f>IF(AnalysisTerm&gt;3,((Hardware_Refreshcylce+(1+Growth)^H$18-(1+Growth)^3)*'ROI Results'!$C73)*(1+Inflation)^3,"")</f>
        <v>295179.01039051544</v>
      </c>
      <c r="I21" s="858">
        <f>IF(AnalysisTerm&gt;3,((Hardware_Refreshcylce+(1+Growth)^I$18-(1+Growth)^H$18)*'ROI Results'!$C73)*(1+Inflation)^H$18," ")</f>
        <v>307446.39495259273</v>
      </c>
      <c r="J21" s="858">
        <f>IF(AnalysisTerm&gt;$I$18,((Hardware_Refreshcylce+(1+Growth)^J$18-(1+Growth)^I$18)*'ROI Results'!$C73)*(1+Inflation)^I$18," ")</f>
        <v>320359.88021293614</v>
      </c>
      <c r="K21" s="858">
        <f>IF(AnalysisTerm&gt;$I$18,((Hardware_Refreshcylce+(1+Growth)^K$18-(1+Growth)^J$18)*'ROI Results'!$C73)*(1+Inflation)^J$18," ")</f>
        <v>333961.51264414977</v>
      </c>
      <c r="L21" s="858">
        <f>IF(AnalysisTerm&gt;$K$18,((Hardware_Refreshcylce+(1+Growth)^L$18-(1+Growth)^K$18)*'ROI Results'!$C73)*(1+Inflation)^K$18," ")</f>
        <v>348296.44718432188</v>
      </c>
      <c r="M21" s="858">
        <f>IF(AnalysisTerm&gt;$K$18,((Hardware_Refreshcylce+(1+Growth)^M$18-(1+Growth)^L$18)*'ROI Results'!$C73)*(1+Inflation)^L$18," ")</f>
        <v>363413.19102730916</v>
      </c>
      <c r="N21" s="858">
        <f>IF(AnalysisTerm&gt;$K$18,((Hardware_Refreshcylce+(1+Growth)^N$18-(1+Growth)^M$18)*'ROI Results'!$C73)*(1+Inflation)^M$18," ")</f>
        <v>379363.86699542345</v>
      </c>
      <c r="O21" s="858">
        <f t="shared" ref="O20:O27" si="0">SUM(E21:N21)</f>
        <v>3165842.4287509988</v>
      </c>
      <c r="P21" s="759" t="b">
        <f>SUM(E21+E34)='ROI Results'!E73</f>
        <v>1</v>
      </c>
      <c r="Q21" s="759" t="b">
        <f>SUM(F21+F34)='ROI Results'!F73</f>
        <v>1</v>
      </c>
      <c r="R21" s="759" t="b">
        <f>SUM(G21+G34)='ROI Results'!G73</f>
        <v>1</v>
      </c>
      <c r="S21" s="759" t="b">
        <f>SUM(H21+H34)='ROI Results'!H73</f>
        <v>1</v>
      </c>
      <c r="T21" s="759" t="b">
        <f>SUM(I21+I34)='ROI Results'!I73</f>
        <v>1</v>
      </c>
      <c r="U21" s="759" t="b">
        <f>SUM(J21+J34)='ROI Results'!J73</f>
        <v>0</v>
      </c>
      <c r="V21" s="759" t="b">
        <f>SUM(K21+K34)='ROI Results'!K73</f>
        <v>1</v>
      </c>
      <c r="W21" s="759" t="b">
        <f>SUM(L21+L34)='ROI Results'!L73</f>
        <v>1</v>
      </c>
      <c r="X21" s="759" t="b">
        <f>SUM(M21+M34)='ROI Results'!M73</f>
        <v>1</v>
      </c>
      <c r="Y21" s="759" t="b">
        <f>SUM(N21+N34)='ROI Results'!N73</f>
        <v>1</v>
      </c>
      <c r="Z21" s="759" t="b">
        <f>SUM(O21+O34)='ROI Results'!O73</f>
        <v>1</v>
      </c>
    </row>
    <row r="22" spans="1:26" customFormat="1" ht="18" customHeight="1" x14ac:dyDescent="0.3">
      <c r="A22" s="941"/>
      <c r="B22" s="904" t="s">
        <v>149</v>
      </c>
      <c r="C22" s="905"/>
      <c r="D22" s="906"/>
      <c r="E22" s="858">
        <v>0</v>
      </c>
      <c r="F22" s="858">
        <v>0</v>
      </c>
      <c r="G22" s="858">
        <v>0</v>
      </c>
      <c r="H22" s="858">
        <v>0</v>
      </c>
      <c r="I22" s="858">
        <v>0</v>
      </c>
      <c r="J22" s="858">
        <v>0</v>
      </c>
      <c r="K22" s="858">
        <v>0</v>
      </c>
      <c r="L22" s="858">
        <v>0</v>
      </c>
      <c r="M22" s="858">
        <v>0</v>
      </c>
      <c r="N22" s="858">
        <v>0</v>
      </c>
      <c r="O22" s="858">
        <f t="shared" si="0"/>
        <v>0</v>
      </c>
      <c r="P22" s="759" t="b">
        <f>SUM(E22+E35)='ROI Results'!E74</f>
        <v>1</v>
      </c>
      <c r="Q22" s="759" t="b">
        <f>SUM(F22+F35)='ROI Results'!F74</f>
        <v>1</v>
      </c>
      <c r="R22" s="759" t="b">
        <f>SUM(G22+G35)='ROI Results'!G74</f>
        <v>1</v>
      </c>
      <c r="S22" s="759" t="b">
        <f>SUM(H22+H35)='ROI Results'!H74</f>
        <v>1</v>
      </c>
      <c r="T22" s="759" t="b">
        <f>SUM(I22+I35)='ROI Results'!I74</f>
        <v>1</v>
      </c>
      <c r="U22" s="759" t="b">
        <f>SUM(J22+J35)='ROI Results'!J74</f>
        <v>1</v>
      </c>
      <c r="V22" s="759" t="b">
        <f>SUM(K22+K35)='ROI Results'!K74</f>
        <v>1</v>
      </c>
      <c r="W22" s="759" t="b">
        <f>SUM(L22+L35)='ROI Results'!L74</f>
        <v>1</v>
      </c>
      <c r="X22" s="759" t="b">
        <f>SUM(M22+M35)='ROI Results'!M74</f>
        <v>1</v>
      </c>
      <c r="Y22" s="759" t="b">
        <f>SUM(N22+N35)='ROI Results'!N74</f>
        <v>1</v>
      </c>
      <c r="Z22" s="759" t="b">
        <f>SUM(O22+O35)='ROI Results'!O74</f>
        <v>1</v>
      </c>
    </row>
    <row r="23" spans="1:26" customFormat="1" ht="18" customHeight="1" x14ac:dyDescent="0.3">
      <c r="A23" s="941"/>
      <c r="B23" s="904" t="s">
        <v>183</v>
      </c>
      <c r="C23" s="905"/>
      <c r="D23" s="906"/>
      <c r="E23" s="858">
        <v>0</v>
      </c>
      <c r="F23" s="858">
        <v>0</v>
      </c>
      <c r="G23" s="858">
        <v>0</v>
      </c>
      <c r="H23" s="858">
        <v>0</v>
      </c>
      <c r="I23" s="858">
        <v>0</v>
      </c>
      <c r="J23" s="858">
        <v>0</v>
      </c>
      <c r="K23" s="858">
        <v>0</v>
      </c>
      <c r="L23" s="858">
        <v>0</v>
      </c>
      <c r="M23" s="858">
        <v>0</v>
      </c>
      <c r="N23" s="858">
        <v>0</v>
      </c>
      <c r="O23" s="858">
        <f t="shared" si="0"/>
        <v>0</v>
      </c>
      <c r="P23" s="759" t="b">
        <f>SUM(E23+E36)='ROI Results'!E75</f>
        <v>1</v>
      </c>
      <c r="Q23" s="759" t="b">
        <f>SUM(F23+F36)='ROI Results'!F75</f>
        <v>1</v>
      </c>
      <c r="R23" s="759" t="b">
        <f>SUM(G23+G36)='ROI Results'!G75</f>
        <v>1</v>
      </c>
      <c r="S23" s="759" t="b">
        <f>SUM(H23+H36)='ROI Results'!H75</f>
        <v>1</v>
      </c>
      <c r="T23" s="759" t="b">
        <f>SUM(I23+I36)='ROI Results'!I75</f>
        <v>1</v>
      </c>
      <c r="U23" s="759" t="b">
        <f>SUM(J23+J36)='ROI Results'!J75</f>
        <v>1</v>
      </c>
      <c r="V23" s="759" t="b">
        <f>SUM(K23+K36)='ROI Results'!K75</f>
        <v>1</v>
      </c>
      <c r="W23" s="759" t="b">
        <f>SUM(L23+L36)='ROI Results'!L75</f>
        <v>1</v>
      </c>
      <c r="X23" s="759" t="b">
        <f>SUM(M23+M36)='ROI Results'!M75</f>
        <v>1</v>
      </c>
      <c r="Y23" s="759" t="b">
        <f>SUM(N23+N36)='ROI Results'!N75</f>
        <v>1</v>
      </c>
      <c r="Z23" s="759" t="b">
        <f>SUM(O23+O36)='ROI Results'!O75</f>
        <v>1</v>
      </c>
    </row>
    <row r="24" spans="1:26" customFormat="1" ht="18" customHeight="1" x14ac:dyDescent="0.3">
      <c r="A24" s="941"/>
      <c r="B24" s="904" t="s">
        <v>136</v>
      </c>
      <c r="C24" s="905"/>
      <c r="D24" s="906"/>
      <c r="E24" s="858">
        <v>0</v>
      </c>
      <c r="F24" s="858">
        <v>0</v>
      </c>
      <c r="G24" s="858">
        <v>0</v>
      </c>
      <c r="H24" s="858">
        <v>0</v>
      </c>
      <c r="I24" s="858">
        <v>0</v>
      </c>
      <c r="J24" s="858">
        <v>0</v>
      </c>
      <c r="K24" s="858">
        <v>0</v>
      </c>
      <c r="L24" s="858">
        <v>0</v>
      </c>
      <c r="M24" s="858">
        <v>0</v>
      </c>
      <c r="N24" s="858">
        <v>0</v>
      </c>
      <c r="O24" s="858">
        <f t="shared" si="0"/>
        <v>0</v>
      </c>
      <c r="P24" s="759" t="b">
        <f ca="1">SUM(E24+E37)='ROI Results'!E76</f>
        <v>1</v>
      </c>
      <c r="Q24" s="759" t="b">
        <f ca="1">SUM(F24+F37)='ROI Results'!F76</f>
        <v>1</v>
      </c>
      <c r="R24" s="759" t="b">
        <f ca="1">SUM(G24+G37)='ROI Results'!G76</f>
        <v>1</v>
      </c>
      <c r="S24" s="759" t="b">
        <f ca="1">SUM(H24+H37)='ROI Results'!H76</f>
        <v>1</v>
      </c>
      <c r="T24" s="759" t="b">
        <f ca="1">SUM(I24+I37)='ROI Results'!I76</f>
        <v>1</v>
      </c>
      <c r="U24" s="759" t="b">
        <f ca="1">SUM(J24+J37)='ROI Results'!J76</f>
        <v>1</v>
      </c>
      <c r="V24" s="759" t="b">
        <f ca="1">SUM(K24+K37)='ROI Results'!K76</f>
        <v>1</v>
      </c>
      <c r="W24" s="759" t="b">
        <f ca="1">SUM(L24+L37)='ROI Results'!L76</f>
        <v>1</v>
      </c>
      <c r="X24" s="759" t="b">
        <f ca="1">SUM(M24+M37)='ROI Results'!M76</f>
        <v>1</v>
      </c>
      <c r="Y24" s="759" t="b">
        <f ca="1">SUM(N24+N37)='ROI Results'!N76</f>
        <v>1</v>
      </c>
      <c r="Z24" s="759" t="b">
        <f ca="1">SUM(O24+O37)='ROI Results'!O76</f>
        <v>1</v>
      </c>
    </row>
    <row r="25" spans="1:26" customFormat="1" ht="18" customHeight="1" x14ac:dyDescent="0.3">
      <c r="A25" s="941"/>
      <c r="B25" s="904" t="s">
        <v>184</v>
      </c>
      <c r="C25" s="905"/>
      <c r="D25" s="906"/>
      <c r="E25" s="858">
        <v>0</v>
      </c>
      <c r="F25" s="858">
        <v>0</v>
      </c>
      <c r="G25" s="858">
        <v>0</v>
      </c>
      <c r="H25" s="858">
        <v>0</v>
      </c>
      <c r="I25" s="858">
        <v>0</v>
      </c>
      <c r="J25" s="858">
        <v>0</v>
      </c>
      <c r="K25" s="858">
        <v>0</v>
      </c>
      <c r="L25" s="858">
        <v>0</v>
      </c>
      <c r="M25" s="858">
        <v>0</v>
      </c>
      <c r="N25" s="858">
        <v>0</v>
      </c>
      <c r="O25" s="858">
        <f t="shared" si="0"/>
        <v>0</v>
      </c>
      <c r="P25" s="759" t="b">
        <f>SUM(E25+E38)='ROI Results'!E77</f>
        <v>1</v>
      </c>
      <c r="Q25" s="759" t="b">
        <f>SUM(F25+F38)='ROI Results'!F77</f>
        <v>1</v>
      </c>
      <c r="R25" s="759" t="b">
        <f>SUM(G25+G38)='ROI Results'!G77</f>
        <v>1</v>
      </c>
      <c r="S25" s="759" t="b">
        <f>SUM(H25+H38)='ROI Results'!H77</f>
        <v>1</v>
      </c>
      <c r="T25" s="759" t="b">
        <f>SUM(I25+I38)='ROI Results'!I77</f>
        <v>1</v>
      </c>
      <c r="U25" s="759" t="b">
        <f>SUM(J25+J38)='ROI Results'!J77</f>
        <v>1</v>
      </c>
      <c r="V25" s="759" t="b">
        <f>SUM(K25+K38)='ROI Results'!K77</f>
        <v>1</v>
      </c>
      <c r="W25" s="759" t="b">
        <f>SUM(L25+L38)='ROI Results'!L77</f>
        <v>1</v>
      </c>
      <c r="X25" s="759" t="b">
        <f>SUM(M25+M38)='ROI Results'!M77</f>
        <v>1</v>
      </c>
      <c r="Y25" s="759" t="b">
        <f>SUM(N25+N38)='ROI Results'!N77</f>
        <v>1</v>
      </c>
      <c r="Z25" s="759" t="b">
        <f>SUM(O25+O38)='ROI Results'!O77</f>
        <v>1</v>
      </c>
    </row>
    <row r="26" spans="1:26" customFormat="1" ht="18" customHeight="1" x14ac:dyDescent="0.3">
      <c r="A26" s="941"/>
      <c r="B26" s="904" t="s">
        <v>185</v>
      </c>
      <c r="C26" s="905"/>
      <c r="D26" s="906"/>
      <c r="E26" s="858">
        <f ca="1">'ROI Results'!E78</f>
        <v>499687.49999999994</v>
      </c>
      <c r="F26" s="858">
        <f ca="1">'ROI Results'!F78</f>
        <v>540412.03125</v>
      </c>
      <c r="G26" s="858">
        <f ca="1">'ROI Results'!G78</f>
        <v>584455.61179687502</v>
      </c>
      <c r="H26" s="858">
        <f ca="1">'ROI Results'!H78</f>
        <v>632088.74415832036</v>
      </c>
      <c r="I26" s="858">
        <f ca="1">'ROI Results'!I78</f>
        <v>683603.97680722328</v>
      </c>
      <c r="J26" s="858">
        <f ca="1">'ROI Results'!J78</f>
        <v>739317.70091701206</v>
      </c>
      <c r="K26" s="858">
        <f ca="1">'ROI Results'!K78</f>
        <v>799572.09354174836</v>
      </c>
      <c r="L26" s="858">
        <f ca="1">'ROI Results'!L78</f>
        <v>864737.21916540107</v>
      </c>
      <c r="M26" s="858">
        <f ca="1">'ROI Results'!M78</f>
        <v>935213.30252738111</v>
      </c>
      <c r="N26" s="858">
        <f ca="1">'ROI Results'!N78</f>
        <v>1011433.1866833628</v>
      </c>
      <c r="O26" s="858">
        <f t="shared" ca="1" si="0"/>
        <v>7290521.3668473233</v>
      </c>
      <c r="P26" s="759" t="b">
        <f ca="1">SUM(E26+E39)='ROI Results'!E78</f>
        <v>1</v>
      </c>
      <c r="Q26" s="759" t="b">
        <f ca="1">SUM(F26+F39)='ROI Results'!F78</f>
        <v>1</v>
      </c>
      <c r="R26" s="759" t="b">
        <f ca="1">SUM(G26+G39)='ROI Results'!G78</f>
        <v>1</v>
      </c>
      <c r="S26" s="759" t="b">
        <f ca="1">SUM(H26+H39)='ROI Results'!H78</f>
        <v>1</v>
      </c>
      <c r="T26" s="759" t="b">
        <f ca="1">SUM(I26+I39)='ROI Results'!I78</f>
        <v>1</v>
      </c>
      <c r="U26" s="759" t="b">
        <f ca="1">SUM(J26+J39)='ROI Results'!J78</f>
        <v>1</v>
      </c>
      <c r="V26" s="759" t="b">
        <f ca="1">SUM(K26+K39)='ROI Results'!K78</f>
        <v>1</v>
      </c>
      <c r="W26" s="759" t="b">
        <f ca="1">SUM(L26+L39)='ROI Results'!L78</f>
        <v>1</v>
      </c>
      <c r="X26" s="759" t="b">
        <f ca="1">SUM(M26+M39)='ROI Results'!M78</f>
        <v>1</v>
      </c>
      <c r="Y26" s="759" t="b">
        <f ca="1">SUM(N26+N39)='ROI Results'!N78</f>
        <v>1</v>
      </c>
      <c r="Z26" s="759" t="b">
        <f ca="1">SUM(O26+O39)='ROI Results'!O78</f>
        <v>1</v>
      </c>
    </row>
    <row r="27" spans="1:26" customFormat="1" ht="18" customHeight="1" x14ac:dyDescent="0.3">
      <c r="A27" s="941"/>
      <c r="B27" s="904" t="s">
        <v>427</v>
      </c>
      <c r="C27" s="905"/>
      <c r="D27" s="906"/>
      <c r="E27" s="858">
        <v>0</v>
      </c>
      <c r="F27" s="858">
        <v>0</v>
      </c>
      <c r="G27" s="858">
        <v>0</v>
      </c>
      <c r="H27" s="858">
        <v>0</v>
      </c>
      <c r="I27" s="858">
        <v>0</v>
      </c>
      <c r="J27" s="858">
        <v>0</v>
      </c>
      <c r="K27" s="858">
        <v>0</v>
      </c>
      <c r="L27" s="858">
        <v>0</v>
      </c>
      <c r="M27" s="858">
        <v>0</v>
      </c>
      <c r="N27" s="858">
        <v>0</v>
      </c>
      <c r="O27" s="858">
        <f t="shared" si="0"/>
        <v>0</v>
      </c>
      <c r="P27" s="759" t="b">
        <f ca="1">SUM(E27+E40)='ROI Results'!E79</f>
        <v>1</v>
      </c>
      <c r="Q27" s="759" t="b">
        <f ca="1">SUM(F27+F40)='ROI Results'!F79</f>
        <v>1</v>
      </c>
      <c r="R27" s="759" t="b">
        <f ca="1">SUM(G27+G40)='ROI Results'!G79</f>
        <v>1</v>
      </c>
      <c r="S27" s="759" t="b">
        <f ca="1">SUM(H27+H40)='ROI Results'!H79</f>
        <v>1</v>
      </c>
      <c r="T27" s="759" t="b">
        <f ca="1">SUM(I27+I40)='ROI Results'!I79</f>
        <v>1</v>
      </c>
      <c r="U27" s="759" t="b">
        <f ca="1">SUM(J27+J40)='ROI Results'!J79</f>
        <v>1</v>
      </c>
      <c r="V27" s="759" t="b">
        <f ca="1">SUM(K27+K40)='ROI Results'!K79</f>
        <v>1</v>
      </c>
      <c r="W27" s="759" t="b">
        <f ca="1">SUM(L27+L40)='ROI Results'!L79</f>
        <v>1</v>
      </c>
      <c r="X27" s="759" t="b">
        <f ca="1">SUM(M27+M40)='ROI Results'!M79</f>
        <v>1</v>
      </c>
      <c r="Y27" s="759" t="b">
        <f ca="1">SUM(N27+N40)='ROI Results'!N79</f>
        <v>1</v>
      </c>
      <c r="Z27" s="759" t="b">
        <f ca="1">SUM(O27+O40)='ROI Results'!O79</f>
        <v>1</v>
      </c>
    </row>
    <row r="28" spans="1:26" customFormat="1" ht="18" customHeight="1" x14ac:dyDescent="0.3">
      <c r="A28" s="941"/>
      <c r="E28" s="760"/>
      <c r="F28" s="760"/>
      <c r="G28" s="760"/>
      <c r="H28" s="760"/>
      <c r="I28" s="785"/>
      <c r="J28" s="952"/>
      <c r="K28" s="952"/>
      <c r="L28" s="952"/>
      <c r="M28" s="952"/>
      <c r="N28" s="952" t="s">
        <v>550</v>
      </c>
      <c r="O28" s="953">
        <f ca="1">SUM(O19:O27)</f>
        <v>56578574.654055946</v>
      </c>
      <c r="P28" s="1"/>
      <c r="Q28" s="52"/>
    </row>
    <row r="29" spans="1:26" customFormat="1" ht="18" customHeight="1" x14ac:dyDescent="0.3">
      <c r="A29" s="941"/>
      <c r="P29" s="1"/>
      <c r="Q29" s="52"/>
    </row>
    <row r="30" spans="1:26" customFormat="1" ht="18" customHeight="1" x14ac:dyDescent="0.3">
      <c r="A30" s="941"/>
      <c r="E30" s="47" t="s">
        <v>222</v>
      </c>
      <c r="P30" s="1"/>
      <c r="Q30" s="52"/>
    </row>
    <row r="31" spans="1:26" customFormat="1" ht="18" customHeight="1" x14ac:dyDescent="0.3">
      <c r="A31" s="941"/>
      <c r="B31" s="58" t="str">
        <f>'ROI Results'!$B$70</f>
        <v>Ongoing current state (TCO)</v>
      </c>
      <c r="C31" s="58"/>
      <c r="D31" s="58"/>
      <c r="E31" s="20" t="s">
        <v>9</v>
      </c>
      <c r="F31" s="20" t="s">
        <v>10</v>
      </c>
      <c r="G31" s="20" t="s">
        <v>11</v>
      </c>
      <c r="H31" s="948">
        <f>H$18</f>
        <v>4</v>
      </c>
      <c r="I31" s="948">
        <f t="shared" ref="I31:N31" si="1">I$18</f>
        <v>5</v>
      </c>
      <c r="J31" s="949">
        <f t="shared" si="1"/>
        <v>6</v>
      </c>
      <c r="K31" s="949">
        <f t="shared" si="1"/>
        <v>7</v>
      </c>
      <c r="L31" s="949">
        <f t="shared" si="1"/>
        <v>8</v>
      </c>
      <c r="M31" s="949">
        <f t="shared" si="1"/>
        <v>9</v>
      </c>
      <c r="N31" s="949">
        <f t="shared" si="1"/>
        <v>10</v>
      </c>
      <c r="O31" s="954" t="s">
        <v>17</v>
      </c>
      <c r="P31" s="1"/>
      <c r="Q31" s="52"/>
    </row>
    <row r="32" spans="1:26" customFormat="1" ht="18" customHeight="1" x14ac:dyDescent="0.3">
      <c r="A32" s="941"/>
      <c r="B32" s="904" t="s">
        <v>40</v>
      </c>
      <c r="C32" s="905"/>
      <c r="D32" s="906"/>
      <c r="E32" s="209">
        <f>'ROI Results'!$D71/AnalysisTerm*(1+Growth)</f>
        <v>2073750</v>
      </c>
      <c r="F32" s="209">
        <f>'ROI Results'!$D71/AnalysisTerm*((1+Growth)^2)*(1+Inflation)^1</f>
        <v>2242760.625</v>
      </c>
      <c r="G32" s="209">
        <f>'ROI Results'!$D71/AnalysisTerm*((1+Growth)^3)*(1+Inflation)^2</f>
        <v>2425545.6159375003</v>
      </c>
      <c r="H32" s="209">
        <f>IF(AnalysisTerm&gt;3,'ROI Results'!$D71/AnalysisTerm*((1+Growth)^H$31)*(1+Inflation)^3," ")</f>
        <v>2623227.5836364063</v>
      </c>
      <c r="I32" s="209">
        <f>IF(AnalysisTerm&gt;3,'ROI Results'!$D71/AnalysisTerm*((1+Growth)^I$31)*(1+Inflation)^H$31," ")</f>
        <v>2837020.6317027737</v>
      </c>
      <c r="J32" s="858">
        <f>IF(AnalysisTerm&gt;$I$31,'ROI Results'!$D71/AnalysisTerm*((1+Growth)^J$31)*(1+Inflation)^I$31," ")</f>
        <v>3068237.8131865487</v>
      </c>
      <c r="K32" s="858">
        <f>IF(AnalysisTerm&gt;$I$31,'ROI Results'!$D71/AnalysisTerm*((1+Growth)^K$31)*(1+Inflation)^J$31," ")</f>
        <v>3318299.1949612536</v>
      </c>
      <c r="L32" s="858">
        <f>IF(AnalysisTerm&gt;$L$31,'ROI Results'!$D71/AnalysisTerm*((1+Growth)^L$31)*(1+Inflation)^K$31," ")</f>
        <v>3588740.5793505954</v>
      </c>
      <c r="M32" s="858">
        <f>IF(AnalysisTerm&gt;$L$31,'ROI Results'!$D71/AnalysisTerm*((1+Growth)^M$31)*(1+Inflation)^L$31," ")</f>
        <v>3881222.9365676688</v>
      </c>
      <c r="N32" s="858">
        <f>IF(AnalysisTerm&gt;$L$31,'ROI Results'!$D71/AnalysisTerm*((1+Growth)^N$31)*(1+Inflation)^M$31," ")</f>
        <v>4197542.6058979342</v>
      </c>
      <c r="O32" s="858">
        <f t="shared" ref="O32:O40" si="2">SUM(E32:N32)</f>
        <v>30256347.586240679</v>
      </c>
      <c r="P32" s="1"/>
      <c r="Q32" s="52"/>
    </row>
    <row r="33" spans="1:26" customFormat="1" ht="18" customHeight="1" x14ac:dyDescent="0.3">
      <c r="A33" s="941"/>
      <c r="B33" s="904" t="s">
        <v>41</v>
      </c>
      <c r="C33" s="905"/>
      <c r="D33" s="906"/>
      <c r="E33" s="209">
        <f>'ROI Results'!$D72/AnalysisTerm*(1+Growth)</f>
        <v>753749.95499999996</v>
      </c>
      <c r="F33" s="209">
        <f>'ROI Results'!$D72/AnalysisTerm*((1+Growth)^2)*(1+Inflation)^1</f>
        <v>815180.57633250009</v>
      </c>
      <c r="G33" s="209">
        <f>'ROI Results'!$D72/AnalysisTerm*((1+Growth)^3)*(1+Inflation)^2</f>
        <v>881617.79330359888</v>
      </c>
      <c r="H33" s="209">
        <f>IF(AnalysisTerm&gt;3,'ROI Results'!$D72/AnalysisTerm*((1+Growth)^H$31)*(1+Inflation)^3," ")</f>
        <v>953469.64345784194</v>
      </c>
      <c r="I33" s="209">
        <f>IF(AnalysisTerm&gt;3,'ROI Results'!$D72/AnalysisTerm*((1+Growth)^I$31)*(1+Inflation)^H$31," ")</f>
        <v>1031177.4193996561</v>
      </c>
      <c r="J33" s="858">
        <f>IF(AnalysisTerm&gt;$I$31,'ROI Results'!$D72/AnalysisTerm*((1+Growth)^J$31)*(1+Inflation)^I$31," ")</f>
        <v>1115218.3790807279</v>
      </c>
      <c r="K33" s="858">
        <f>IF(AnalysisTerm&gt;$I$31,'ROI Results'!$D72/AnalysisTerm*((1+Growth)^K$31)*(1+Inflation)^J$31," ")</f>
        <v>1206108.6769758076</v>
      </c>
      <c r="L33" s="858">
        <f>IF(AnalysisTerm&gt;$L$31,'ROI Results'!$D72/AnalysisTerm*((1+Growth)^L$31)*(1+Inflation)^K$31," ")</f>
        <v>1304406.5341493357</v>
      </c>
      <c r="M33" s="858">
        <f>IF(AnalysisTerm&gt;$L$31,'ROI Results'!$D72/AnalysisTerm*((1+Growth)^M$31)*(1+Inflation)^L$31," ")</f>
        <v>1410715.6666825067</v>
      </c>
      <c r="N33" s="858">
        <f>IF(AnalysisTerm&gt;$L$31,'ROI Results'!$D72/AnalysisTerm*((1+Growth)^N$31)*(1+Inflation)^M$31," ")</f>
        <v>1525688.9935171308</v>
      </c>
      <c r="O33" s="858">
        <f t="shared" si="2"/>
        <v>10997333.637899105</v>
      </c>
      <c r="P33" s="1"/>
      <c r="Q33" s="52"/>
    </row>
    <row r="34" spans="1:26" customFormat="1" ht="18" customHeight="1" x14ac:dyDescent="0.3">
      <c r="A34" s="941"/>
      <c r="B34" s="904" t="s">
        <v>182</v>
      </c>
      <c r="C34" s="905"/>
      <c r="D34" s="906"/>
      <c r="E34" s="209">
        <f>'ROI Results'!$D73/AnalysisTerm*(1+Growth)</f>
        <v>205635.36000000002</v>
      </c>
      <c r="F34" s="209">
        <f>'ROI Results'!$D73/AnalysisTerm*((1+Growth)^2)*(1+Inflation)^1</f>
        <v>222394.64184000003</v>
      </c>
      <c r="G34" s="209">
        <f>'ROI Results'!$D73/AnalysisTerm*((1+Growth)^3)*(1+Inflation)^2</f>
        <v>240519.80514996004</v>
      </c>
      <c r="H34" s="209">
        <f>IF(AnalysisTerm&gt;3,'ROI Results'!$D73/AnalysisTerm*((1+Growth)^H$31)*(1+Inflation)^3," ")</f>
        <v>260122.16926968176</v>
      </c>
      <c r="I34" s="209">
        <f>IF(AnalysisTerm&gt;3,'ROI Results'!$D73/AnalysisTerm*((1+Growth)^I$31)*(1+Inflation)^H$31," ")</f>
        <v>281322.12606516085</v>
      </c>
      <c r="J34" s="858">
        <f>IF(AnalysisTerm&gt;$I$31,'ROI Results'!$D73/AnalysisTerm*((1+Growth)^J$31)*(1+Inflation)^I$31," ")</f>
        <v>304249.8793394714</v>
      </c>
      <c r="K34" s="858">
        <f>IF(AnalysisTerm&gt;$I$31,'ROI Results'!$D73/AnalysisTerm*((1+Growth)^K$31)*(1+Inflation)^J$31," ")</f>
        <v>329046.24450563837</v>
      </c>
      <c r="L34" s="858">
        <f>IF(AnalysisTerm&gt;$L$31,'ROI Results'!$D73/AnalysisTerm*((1+Growth)^L$31)*(1+Inflation)^K$31," ")</f>
        <v>355863.51343284786</v>
      </c>
      <c r="M34" s="858">
        <f>IF(AnalysisTerm&gt;$L$31,'ROI Results'!$D73/AnalysisTerm*((1+Growth)^M$31)*(1+Inflation)^L$31," ")</f>
        <v>384866.38977762498</v>
      </c>
      <c r="N34" s="858">
        <f>IF(AnalysisTerm&gt;$L$31,'ROI Results'!$D73/AnalysisTerm*((1+Growth)^N$31)*(1+Inflation)^M$31," ")</f>
        <v>416233.00054450147</v>
      </c>
      <c r="O34" s="858">
        <f t="shared" si="2"/>
        <v>3000253.1299248869</v>
      </c>
      <c r="P34" s="1"/>
      <c r="Q34" s="52"/>
    </row>
    <row r="35" spans="1:26" customFormat="1" ht="18" customHeight="1" x14ac:dyDescent="0.3">
      <c r="A35" s="941"/>
      <c r="B35" s="904" t="s">
        <v>149</v>
      </c>
      <c r="C35" s="905"/>
      <c r="D35" s="906"/>
      <c r="E35" s="209">
        <f>'ROI Results'!E74</f>
        <v>500000</v>
      </c>
      <c r="F35" s="209">
        <f>'ROI Results'!F74</f>
        <v>525000</v>
      </c>
      <c r="G35" s="209">
        <f>'ROI Results'!G74</f>
        <v>551250</v>
      </c>
      <c r="H35" s="209">
        <f>'ROI Results'!H74</f>
        <v>578812.50000000012</v>
      </c>
      <c r="I35" s="209">
        <f>'ROI Results'!I74</f>
        <v>607753.125</v>
      </c>
      <c r="J35" s="858">
        <f>'ROI Results'!J74</f>
        <v>638140.78125000012</v>
      </c>
      <c r="K35" s="858">
        <f>'ROI Results'!K74</f>
        <v>670047.8203125</v>
      </c>
      <c r="L35" s="858">
        <f>'ROI Results'!L74</f>
        <v>703550.21132812509</v>
      </c>
      <c r="M35" s="858">
        <f>'ROI Results'!M74</f>
        <v>738727.72189453128</v>
      </c>
      <c r="N35" s="858">
        <f>'ROI Results'!N74</f>
        <v>775664.1079892579</v>
      </c>
      <c r="O35" s="858">
        <f t="shared" si="2"/>
        <v>6288946.2677744143</v>
      </c>
      <c r="P35" s="1"/>
      <c r="Q35" s="52"/>
    </row>
    <row r="36" spans="1:26" customFormat="1" ht="18" customHeight="1" x14ac:dyDescent="0.3">
      <c r="A36" s="941"/>
      <c r="B36" s="904" t="s">
        <v>183</v>
      </c>
      <c r="C36" s="905"/>
      <c r="D36" s="906"/>
      <c r="E36" s="209">
        <f>'ROI Results'!E75</f>
        <v>2484867.3199999994</v>
      </c>
      <c r="F36" s="209">
        <f>'ROI Results'!F75</f>
        <v>2687384.0065799993</v>
      </c>
      <c r="G36" s="209">
        <f>'ROI Results'!G75</f>
        <v>2906405.8031162689</v>
      </c>
      <c r="H36" s="209">
        <f>'ROI Results'!H75</f>
        <v>3143277.8760702456</v>
      </c>
      <c r="I36" s="209">
        <f>'ROI Results'!I75</f>
        <v>3399455.02296997</v>
      </c>
      <c r="J36" s="858">
        <f>'ROI Results'!J75</f>
        <v>3860336.1377091231</v>
      </c>
      <c r="K36" s="858">
        <f>'ROI Results'!K75</f>
        <v>4174953.5329324179</v>
      </c>
      <c r="L36" s="858">
        <f>'ROI Results'!L75</f>
        <v>4515212.2458664095</v>
      </c>
      <c r="M36" s="858">
        <f>'ROI Results'!M75</f>
        <v>4883202.0439045215</v>
      </c>
      <c r="N36" s="858">
        <f>'ROI Results'!N75</f>
        <v>5281183.0104827406</v>
      </c>
      <c r="O36" s="858">
        <f t="shared" si="2"/>
        <v>37336276.999631703</v>
      </c>
      <c r="P36" s="1"/>
      <c r="Q36" s="52"/>
    </row>
    <row r="37" spans="1:26" customFormat="1" ht="18" customHeight="1" x14ac:dyDescent="0.3">
      <c r="A37" s="941"/>
      <c r="B37" s="904" t="s">
        <v>136</v>
      </c>
      <c r="C37" s="905"/>
      <c r="D37" s="906"/>
      <c r="E37" s="209">
        <f ca="1">'ROI Results'!E76</f>
        <v>4587954.8346043741</v>
      </c>
      <c r="F37" s="209">
        <f ca="1">'ROI Results'!F76</f>
        <v>4961873.1536246305</v>
      </c>
      <c r="G37" s="209">
        <f ca="1">'ROI Results'!G76</f>
        <v>5366265.8156450372</v>
      </c>
      <c r="H37" s="209">
        <f ca="1">'ROI Results'!H76</f>
        <v>5803616.4796201093</v>
      </c>
      <c r="I37" s="209">
        <f ca="1">'ROI Results'!I76</f>
        <v>6276611.2227091473</v>
      </c>
      <c r="J37" s="858">
        <f ca="1">'ROI Results'!J76</f>
        <v>7127562.7892279392</v>
      </c>
      <c r="K37" s="858">
        <f ca="1">'ROI Results'!K76</f>
        <v>7708459.1565500181</v>
      </c>
      <c r="L37" s="858">
        <f ca="1">'ROI Results'!L76</f>
        <v>8336698.5778088439</v>
      </c>
      <c r="M37" s="858">
        <f ca="1">'ROI Results'!M76</f>
        <v>9016139.5119002648</v>
      </c>
      <c r="N37" s="858">
        <f ca="1">'ROI Results'!N76</f>
        <v>9750954.8821201362</v>
      </c>
      <c r="O37" s="858">
        <f t="shared" ca="1" si="2"/>
        <v>68936136.423810497</v>
      </c>
      <c r="P37" s="1"/>
      <c r="Q37" s="52"/>
    </row>
    <row r="38" spans="1:26" customFormat="1" ht="18" customHeight="1" x14ac:dyDescent="0.3">
      <c r="A38" s="941"/>
      <c r="B38" s="904" t="s">
        <v>184</v>
      </c>
      <c r="C38" s="905"/>
      <c r="D38" s="906"/>
      <c r="E38" s="209">
        <f>'ROI Results'!E77</f>
        <v>125000</v>
      </c>
      <c r="F38" s="209">
        <f>'ROI Results'!F77</f>
        <v>125000</v>
      </c>
      <c r="G38" s="209">
        <f>'ROI Results'!G77</f>
        <v>125000</v>
      </c>
      <c r="H38" s="209">
        <f>'ROI Results'!H77</f>
        <v>125000</v>
      </c>
      <c r="I38" s="209">
        <f>'ROI Results'!I77</f>
        <v>125000</v>
      </c>
      <c r="J38" s="858">
        <f>'ROI Results'!J77</f>
        <v>125000</v>
      </c>
      <c r="K38" s="858">
        <f>'ROI Results'!K77</f>
        <v>125000</v>
      </c>
      <c r="L38" s="858">
        <f>'ROI Results'!L77</f>
        <v>125000</v>
      </c>
      <c r="M38" s="858">
        <f>'ROI Results'!M77</f>
        <v>125000</v>
      </c>
      <c r="N38" s="858">
        <f>'ROI Results'!N77</f>
        <v>125000</v>
      </c>
      <c r="O38" s="858">
        <f t="shared" si="2"/>
        <v>1250000</v>
      </c>
      <c r="P38" s="1"/>
      <c r="Q38" s="52"/>
    </row>
    <row r="39" spans="1:26" customFormat="1" ht="18" customHeight="1" x14ac:dyDescent="0.3">
      <c r="A39" s="941"/>
      <c r="B39" s="904" t="s">
        <v>185</v>
      </c>
      <c r="C39" s="905"/>
      <c r="D39" s="906"/>
      <c r="E39" s="209">
        <v>0</v>
      </c>
      <c r="F39" s="209">
        <v>0</v>
      </c>
      <c r="G39" s="209">
        <v>0</v>
      </c>
      <c r="H39" s="209">
        <v>0</v>
      </c>
      <c r="I39" s="209">
        <v>0</v>
      </c>
      <c r="J39" s="858">
        <v>0</v>
      </c>
      <c r="K39" s="858">
        <v>0</v>
      </c>
      <c r="L39" s="858">
        <v>0</v>
      </c>
      <c r="M39" s="858">
        <v>0</v>
      </c>
      <c r="N39" s="858">
        <v>0</v>
      </c>
      <c r="O39" s="858">
        <f t="shared" si="2"/>
        <v>0</v>
      </c>
      <c r="P39" s="1"/>
      <c r="Q39" s="52"/>
    </row>
    <row r="40" spans="1:26" customFormat="1" ht="18" customHeight="1" x14ac:dyDescent="0.3">
      <c r="A40" s="941"/>
      <c r="B40" s="904" t="s">
        <v>427</v>
      </c>
      <c r="C40" s="905"/>
      <c r="D40" s="906"/>
      <c r="E40" s="209">
        <f ca="1">'ROI Results'!E79</f>
        <v>39000</v>
      </c>
      <c r="F40" s="209">
        <f ca="1">'ROI Results'!F79</f>
        <v>0</v>
      </c>
      <c r="G40" s="209">
        <f ca="1">'ROI Results'!G79</f>
        <v>0</v>
      </c>
      <c r="H40" s="209">
        <f ca="1">'ROI Results'!H79</f>
        <v>0</v>
      </c>
      <c r="I40" s="209">
        <f ca="1">'ROI Results'!I79</f>
        <v>0</v>
      </c>
      <c r="J40" s="858">
        <f ca="1">'ROI Results'!J79</f>
        <v>0</v>
      </c>
      <c r="K40" s="858">
        <f ca="1">'ROI Results'!K79</f>
        <v>0</v>
      </c>
      <c r="L40" s="858">
        <f ca="1">'ROI Results'!L79</f>
        <v>0</v>
      </c>
      <c r="M40" s="858">
        <f ca="1">'ROI Results'!M79</f>
        <v>0</v>
      </c>
      <c r="N40" s="858">
        <f ca="1">'ROI Results'!N79</f>
        <v>0</v>
      </c>
      <c r="O40" s="858">
        <f t="shared" ca="1" si="2"/>
        <v>39000</v>
      </c>
      <c r="P40" s="1"/>
      <c r="Q40" s="52"/>
    </row>
    <row r="41" spans="1:26" customFormat="1" ht="18" customHeight="1" x14ac:dyDescent="0.3">
      <c r="A41" s="941"/>
      <c r="I41" s="94"/>
      <c r="J41" s="516"/>
      <c r="K41" s="516"/>
      <c r="L41" s="516"/>
      <c r="M41" s="516"/>
      <c r="N41" s="516" t="s">
        <v>551</v>
      </c>
      <c r="O41" s="953">
        <f ca="1">SUM(O32:O40)</f>
        <v>158104294.04528129</v>
      </c>
      <c r="P41" s="1"/>
      <c r="Q41" s="52"/>
    </row>
    <row r="42" spans="1:26" customFormat="1" ht="18" customHeight="1" x14ac:dyDescent="0.3">
      <c r="A42" s="941"/>
      <c r="E42" s="47" t="s">
        <v>221</v>
      </c>
      <c r="P42" s="1"/>
      <c r="Q42" s="52"/>
    </row>
    <row r="43" spans="1:26" customFormat="1" ht="18" customHeight="1" x14ac:dyDescent="0.3">
      <c r="A43" s="941"/>
      <c r="B43" s="58" t="s">
        <v>497</v>
      </c>
      <c r="C43" s="58"/>
      <c r="D43" s="58"/>
      <c r="E43" s="20" t="s">
        <v>9</v>
      </c>
      <c r="F43" s="20" t="s">
        <v>10</v>
      </c>
      <c r="G43" s="20" t="s">
        <v>11</v>
      </c>
      <c r="H43" s="948">
        <f>H$18</f>
        <v>4</v>
      </c>
      <c r="I43" s="948">
        <f t="shared" ref="I43:N43" si="3">I$18</f>
        <v>5</v>
      </c>
      <c r="J43" s="948">
        <f t="shared" si="3"/>
        <v>6</v>
      </c>
      <c r="K43" s="948">
        <f t="shared" si="3"/>
        <v>7</v>
      </c>
      <c r="L43" s="948">
        <f t="shared" si="3"/>
        <v>8</v>
      </c>
      <c r="M43" s="948">
        <f t="shared" si="3"/>
        <v>9</v>
      </c>
      <c r="N43" s="948">
        <f t="shared" si="3"/>
        <v>10</v>
      </c>
      <c r="O43" s="20" t="s">
        <v>17</v>
      </c>
      <c r="P43" s="1"/>
      <c r="Q43" s="52"/>
    </row>
    <row r="44" spans="1:26" customFormat="1" ht="18" customHeight="1" x14ac:dyDescent="0.3">
      <c r="A44" s="941"/>
      <c r="B44" s="904" t="s">
        <v>40</v>
      </c>
      <c r="C44" s="905"/>
      <c r="D44" s="906"/>
      <c r="E44" s="858">
        <f>(Hardware_Refreshcylce+Growth)*'ROI Results'!$C85</f>
        <v>899246.875</v>
      </c>
      <c r="F44" s="858">
        <f>((Hardware_Refreshcylce+(1+Growth)^2-(1+Growth))*'ROI Results'!$C85)*(1+Inflation)^1</f>
        <v>935486.52406249975</v>
      </c>
      <c r="G44" s="858">
        <f>((Hardware_Refreshcylce+(1+Growth)^3-(1+Growth)^2)*'ROI Results'!$C85)*(1+Inflation)^2</f>
        <v>973568.23538609396</v>
      </c>
      <c r="H44" s="858">
        <f>IF(AnalysisTerm&gt;3,((Hardware_Refreshcylce+(1+Growth)^4-(1+Growth)^3)*'ROI Results'!$C85)*(1+Inflation)^3," ")</f>
        <v>1013608.7929709348</v>
      </c>
      <c r="I44" s="858">
        <f>IF(AnalysisTerm&gt;3,((Hardware_Refreshcylce+(1+Growth)^5-(1+Growth)^4)*'ROI Results'!$C85)*(1+Inflation)^4," ")</f>
        <v>1055733.4983909682</v>
      </c>
      <c r="J44" s="858">
        <f>IF(AnalysisTerm&gt;5,((Hardware_Refreshcylce+(1+Growth)^J$43-(1+Growth)^I$43)*'ROI Results'!$C85)*(1+Inflation)^I$43," ")</f>
        <v>1100076.8349665191</v>
      </c>
      <c r="K44" s="858">
        <f>IF(AnalysisTerm&gt;5,((Hardware_Refreshcylce+(1+Growth)^K$43-(1+Growth)^J$43)*'ROI Results'!$C85)*(1+Inflation)^J$43," ")</f>
        <v>1146783.1851666812</v>
      </c>
      <c r="L44" s="858">
        <f>IF(AnalysisTerm&gt;7,((Hardware_Refreshcylce+(1+Growth)^L$43-(1+Growth)^K$43)*'ROI Results'!$C85)*(1+Inflation)^K$43," ")</f>
        <v>1196007.6055526645</v>
      </c>
      <c r="M44" s="858">
        <f>IF(AnalysisTerm&gt;7,((Hardware_Refreshcylce+(1+Growth)^M$43-(1+Growth)^L$43)*'ROI Results'!$C85)*(1+Inflation)^L$43," ")</f>
        <v>1247916.6639239553</v>
      </c>
      <c r="N44" s="858">
        <f>IF(AnalysisTerm&gt;7,((Hardware_Refreshcylce+(1+Growth)^N$43-(1+Growth)^M$43)*'ROI Results'!$C85)*(1+Inflation)^M$43," ")</f>
        <v>1302689.3437080672</v>
      </c>
      <c r="O44" s="858">
        <f>SUM(E44:N44)</f>
        <v>10871117.559128385</v>
      </c>
      <c r="P44" s="759" t="b">
        <f>SUM(E44+E57)='ROI Results'!E85</f>
        <v>1</v>
      </c>
      <c r="Q44" s="759" t="b">
        <f>SUM(F44+F57)='ROI Results'!F85</f>
        <v>1</v>
      </c>
      <c r="R44" s="759" t="b">
        <f>SUM(G44+G57)='ROI Results'!G85</f>
        <v>1</v>
      </c>
      <c r="S44" s="759" t="b">
        <f>SUM(H44+H57)='ROI Results'!H85</f>
        <v>1</v>
      </c>
      <c r="T44" s="759" t="b">
        <f>SUM(I44+I57)='ROI Results'!I85</f>
        <v>0</v>
      </c>
      <c r="U44" s="759" t="b">
        <f>SUM(J44+J57)='ROI Results'!J85</f>
        <v>1</v>
      </c>
      <c r="V44" s="759" t="b">
        <f>SUM(K44+K57)='ROI Results'!K85</f>
        <v>1</v>
      </c>
      <c r="W44" s="759" t="b">
        <f>SUM(L44+L57)='ROI Results'!L85</f>
        <v>1</v>
      </c>
      <c r="X44" s="759" t="b">
        <f>SUM(M44+M57)='ROI Results'!M85</f>
        <v>1</v>
      </c>
      <c r="Y44" s="759" t="b">
        <f>SUM(N44+N57)='ROI Results'!N85</f>
        <v>1</v>
      </c>
      <c r="Z44" s="759" t="b">
        <f>SUM(O44+O57)='ROI Results'!O85</f>
        <v>1</v>
      </c>
    </row>
    <row r="45" spans="1:26" customFormat="1" ht="18" customHeight="1" x14ac:dyDescent="0.3">
      <c r="A45" s="941"/>
      <c r="B45" s="904" t="s">
        <v>41</v>
      </c>
      <c r="C45" s="905"/>
      <c r="D45" s="906"/>
      <c r="E45" s="858">
        <f>(Hardware_Refreshcylce+Growth)*'ROI Results'!$C86</f>
        <v>294000</v>
      </c>
      <c r="F45" s="858">
        <f>((Hardware_Refreshcylce+(1+Growth)^2-(1+Growth))*'ROI Results'!$C86)*(1+Inflation)^1</f>
        <v>305848.19999999995</v>
      </c>
      <c r="G45" s="858">
        <f>((Hardware_Refreshcylce+(1+Growth)^3-(1+Growth)^2)*'ROI Results'!$C86)*(1+Inflation)^2</f>
        <v>318298.64430000004</v>
      </c>
      <c r="H45" s="858">
        <f>IF(AnalysisTerm&gt;3,((Hardware_Refreshcylce+(1+Growth)^4-(1+Growth)^3)*'ROI Results'!$C86)*(1+Inflation)^3," ")</f>
        <v>331389.51429044979</v>
      </c>
      <c r="I45" s="858">
        <f>IF(AnalysisTerm&gt;3,((Hardware_Refreshcylce+(1+Growth)^5-(1+Growth)^4)*'ROI Results'!$C86)*(1+Inflation)^4," ")</f>
        <v>345161.77609952172</v>
      </c>
      <c r="J45" s="858">
        <f>IF(AnalysisTerm&gt;5,((Hardware_Refreshcylce+(1+Growth)^J$43-(1+Growth)^I$43)*'ROI Results'!$C86)*(1+Inflation)^I$43," ")</f>
        <v>359659.3977378644</v>
      </c>
      <c r="K45" s="858">
        <f>IF(AnalysisTerm&gt;5,((Hardware_Refreshcylce+(1+Growth)^K$43-(1+Growth)^J$43)*'ROI Results'!$C86)*(1+Inflation)^J$43," ")</f>
        <v>374929.58364631992</v>
      </c>
      <c r="L45" s="858">
        <f>IF(AnalysisTerm&gt;7,((Hardware_Refreshcylce+(1+Growth)^L$43-(1+Growth)^K$43)*'ROI Results'!$C86)*(1+Inflation)^K$43," ")</f>
        <v>391023.02805609786</v>
      </c>
      <c r="M45" s="858">
        <f>IF(AnalysisTerm&gt;7,((Hardware_Refreshcylce+(1+Growth)^M$43-(1+Growth)^L$43)*'ROI Results'!$C86)*(1+Inflation)^L$43," ")</f>
        <v>407994.18868555187</v>
      </c>
      <c r="N45" s="858">
        <f>IF(AnalysisTerm&gt;7,((Hardware_Refreshcylce+(1+Growth)^N$43-(1+Growth)^M$43)*'ROI Results'!$C86)*(1+Inflation)^M$43," ")</f>
        <v>425901.58242159226</v>
      </c>
      <c r="O45" s="858">
        <f t="shared" ref="O45:O52" si="4">SUM(E45:N45)</f>
        <v>3554205.9152373974</v>
      </c>
      <c r="P45" s="759" t="b">
        <f>SUM(E45+E58)='ROI Results'!E86</f>
        <v>1</v>
      </c>
      <c r="Q45" s="759" t="b">
        <f>SUM(F45+F58)='ROI Results'!F86</f>
        <v>1</v>
      </c>
      <c r="R45" s="759" t="b">
        <f>SUM(G45+G58)='ROI Results'!G86</f>
        <v>1</v>
      </c>
      <c r="S45" s="759" t="b">
        <f>SUM(H45+H58)='ROI Results'!H86</f>
        <v>1</v>
      </c>
      <c r="T45" s="759" t="b">
        <f>SUM(I45+I58)='ROI Results'!I86</f>
        <v>1</v>
      </c>
      <c r="U45" s="759" t="b">
        <f>SUM(J45+J58)='ROI Results'!J86</f>
        <v>1</v>
      </c>
      <c r="V45" s="759" t="b">
        <f>SUM(K45+K58)='ROI Results'!K86</f>
        <v>1</v>
      </c>
      <c r="W45" s="759" t="b">
        <f>SUM(L45+L58)='ROI Results'!L86</f>
        <v>1</v>
      </c>
      <c r="X45" s="759" t="b">
        <f>SUM(M45+M58)='ROI Results'!M86</f>
        <v>1</v>
      </c>
      <c r="Y45" s="759" t="b">
        <f>SUM(N45+N58)='ROI Results'!N86</f>
        <v>1</v>
      </c>
      <c r="Z45" s="759" t="b">
        <f>SUM(O45+O58)='ROI Results'!O86</f>
        <v>1</v>
      </c>
    </row>
    <row r="46" spans="1:26" customFormat="1" ht="18" customHeight="1" x14ac:dyDescent="0.3">
      <c r="A46" s="941"/>
      <c r="B46" s="904" t="s">
        <v>182</v>
      </c>
      <c r="C46" s="905"/>
      <c r="D46" s="906"/>
      <c r="E46" s="858">
        <f>(Hardware_Refreshcylce+Growth)*'ROI Results'!$C87</f>
        <v>89375</v>
      </c>
      <c r="F46" s="858">
        <f>((Hardware_Refreshcylce+(1+Growth)^2-(1+Growth))*'ROI Results'!$C87)*(1+Inflation)^1</f>
        <v>92976.812499999985</v>
      </c>
      <c r="G46" s="858">
        <f>((Hardware_Refreshcylce+(1+Growth)^3-(1+Growth)^2)*'ROI Results'!$C87)*(1+Inflation)^2</f>
        <v>96761.705218750008</v>
      </c>
      <c r="H46" s="858">
        <f>IF(AnalysisTerm&gt;3,((Hardware_Refreshcylce+(1+Growth)^4-(1+Growth)^3)*'ROI Results'!$C87)*(1+Inflation)^3," ")</f>
        <v>100741.28516907807</v>
      </c>
      <c r="I46" s="858">
        <f>IF(AnalysisTerm&gt;3,((Hardware_Refreshcylce+(1+Growth)^5-(1+Growth)^4)*'ROI Results'!$C87)*(1+Inflation)^4," ")</f>
        <v>104928.00591460802</v>
      </c>
      <c r="J46" s="858">
        <f>IF(AnalysisTerm&gt;5,((Hardware_Refreshcylce+(1+Growth)^J$43-(1+Growth)^I$43)*'ROI Results'!$C87)*(1+Inflation)^I$43," ")</f>
        <v>109335.23358102594</v>
      </c>
      <c r="K46" s="858">
        <f>IF(AnalysisTerm&gt;5,((Hardware_Refreshcylce+(1+Growth)^K$43-(1+Growth)^J$43)*'ROI Results'!$C87)*(1+Inflation)^J$43," ")</f>
        <v>113977.31815778857</v>
      </c>
      <c r="L46" s="858">
        <f>IF(AnalysisTerm&gt;7,((Hardware_Refreshcylce+(1+Growth)^L$43-(1+Growth)^K$43)*'ROI Results'!$C87)*(1+Inflation)^K$43," ")</f>
        <v>118869.67051875425</v>
      </c>
      <c r="M46" s="858">
        <f>IF(AnalysisTerm&gt;7,((Hardware_Refreshcylce+(1+Growth)^M$43-(1+Growth)^L$43)*'ROI Results'!$C87)*(1+Inflation)^L$43," ")</f>
        <v>124028.84562507209</v>
      </c>
      <c r="N46" s="858">
        <f>IF(AnalysisTerm&gt;7,((Hardware_Refreshcylce+(1+Growth)^N$43-(1+Growth)^M$43)*'ROI Results'!$C87)*(1+Inflation)^M$43," ")</f>
        <v>129472.63241132589</v>
      </c>
      <c r="O46" s="858">
        <f t="shared" si="4"/>
        <v>1080466.5090964029</v>
      </c>
      <c r="P46" s="759" t="b">
        <f>SUM(E46+E59)='ROI Results'!E87</f>
        <v>1</v>
      </c>
      <c r="Q46" s="759" t="b">
        <f>SUM(F46+F59)='ROI Results'!F87</f>
        <v>1</v>
      </c>
      <c r="R46" s="759" t="b">
        <f>SUM(G46+G59)='ROI Results'!G87</f>
        <v>1</v>
      </c>
      <c r="S46" s="759" t="b">
        <f>SUM(H46+H59)='ROI Results'!H87</f>
        <v>1</v>
      </c>
      <c r="T46" s="759" t="b">
        <f>SUM(I46+I59)='ROI Results'!I87</f>
        <v>1</v>
      </c>
      <c r="U46" s="759" t="b">
        <f>SUM(J46+J59)='ROI Results'!J87</f>
        <v>1</v>
      </c>
      <c r="V46" s="759" t="b">
        <f>SUM(K46+K59)='ROI Results'!K87</f>
        <v>1</v>
      </c>
      <c r="W46" s="759" t="b">
        <f>SUM(L46+L59)='ROI Results'!L87</f>
        <v>1</v>
      </c>
      <c r="X46" s="759" t="b">
        <f>SUM(M46+M59)='ROI Results'!M87</f>
        <v>1</v>
      </c>
      <c r="Y46" s="759" t="b">
        <f>SUM(N46+N59)='ROI Results'!N87</f>
        <v>1</v>
      </c>
      <c r="Z46" s="759" t="b">
        <f>SUM(O46+O59)='ROI Results'!O87</f>
        <v>1</v>
      </c>
    </row>
    <row r="47" spans="1:26" customFormat="1" ht="18" customHeight="1" x14ac:dyDescent="0.3">
      <c r="A47" s="941"/>
      <c r="B47" s="904" t="s">
        <v>149</v>
      </c>
      <c r="C47" s="905"/>
      <c r="D47" s="906"/>
      <c r="E47" s="858">
        <v>0</v>
      </c>
      <c r="F47" s="858">
        <v>0</v>
      </c>
      <c r="G47" s="858">
        <v>0</v>
      </c>
      <c r="H47" s="858">
        <v>0</v>
      </c>
      <c r="I47" s="858">
        <v>0</v>
      </c>
      <c r="J47" s="858">
        <v>0</v>
      </c>
      <c r="K47" s="858">
        <v>0</v>
      </c>
      <c r="L47" s="858">
        <v>0</v>
      </c>
      <c r="M47" s="858">
        <v>0</v>
      </c>
      <c r="N47" s="858">
        <v>0</v>
      </c>
      <c r="O47" s="858">
        <f t="shared" si="4"/>
        <v>0</v>
      </c>
      <c r="P47" s="759" t="b">
        <f>SUM(E47+E60)='ROI Results'!E88</f>
        <v>1</v>
      </c>
      <c r="Q47" s="759" t="b">
        <f>SUM(F47+F60)='ROI Results'!F88</f>
        <v>1</v>
      </c>
      <c r="R47" s="759" t="b">
        <f>SUM(G47+G60)='ROI Results'!G88</f>
        <v>1</v>
      </c>
      <c r="S47" s="759" t="b">
        <f>SUM(H47+H60)='ROI Results'!H88</f>
        <v>1</v>
      </c>
      <c r="T47" s="759" t="b">
        <f>SUM(I47+I60)='ROI Results'!I88</f>
        <v>1</v>
      </c>
      <c r="U47" s="759" t="b">
        <f>SUM(J47+J60)='ROI Results'!J88</f>
        <v>1</v>
      </c>
      <c r="V47" s="759" t="b">
        <f>SUM(K47+K60)='ROI Results'!K88</f>
        <v>1</v>
      </c>
      <c r="W47" s="759" t="b">
        <f>SUM(L47+L60)='ROI Results'!L88</f>
        <v>1</v>
      </c>
      <c r="X47" s="759" t="b">
        <f>SUM(M47+M60)='ROI Results'!M88</f>
        <v>1</v>
      </c>
      <c r="Y47" s="759" t="b">
        <f>SUM(N47+N60)='ROI Results'!N88</f>
        <v>1</v>
      </c>
      <c r="Z47" s="759" t="b">
        <f>SUM(O47+O60)='ROI Results'!O88</f>
        <v>1</v>
      </c>
    </row>
    <row r="48" spans="1:26" customFormat="1" ht="18" customHeight="1" x14ac:dyDescent="0.3">
      <c r="A48" s="941"/>
      <c r="B48" s="904" t="s">
        <v>183</v>
      </c>
      <c r="C48" s="905"/>
      <c r="D48" s="906"/>
      <c r="E48" s="858">
        <v>0</v>
      </c>
      <c r="F48" s="858">
        <v>0</v>
      </c>
      <c r="G48" s="858">
        <v>0</v>
      </c>
      <c r="H48" s="858">
        <v>0</v>
      </c>
      <c r="I48" s="858">
        <v>0</v>
      </c>
      <c r="J48" s="858">
        <v>0</v>
      </c>
      <c r="K48" s="858">
        <v>0</v>
      </c>
      <c r="L48" s="858">
        <v>0</v>
      </c>
      <c r="M48" s="858">
        <v>0</v>
      </c>
      <c r="N48" s="858">
        <v>0</v>
      </c>
      <c r="O48" s="858">
        <f t="shared" si="4"/>
        <v>0</v>
      </c>
      <c r="P48" s="759" t="b">
        <f>SUM(E48+E61)='ROI Results'!E89</f>
        <v>1</v>
      </c>
      <c r="Q48" s="759" t="b">
        <f>SUM(F48+F61)='ROI Results'!F89</f>
        <v>1</v>
      </c>
      <c r="R48" s="759" t="b">
        <f>SUM(G48+G61)='ROI Results'!G89</f>
        <v>1</v>
      </c>
      <c r="S48" s="759" t="b">
        <f>SUM(H48+H61)='ROI Results'!H89</f>
        <v>1</v>
      </c>
      <c r="T48" s="759" t="b">
        <f>SUM(I48+I61)='ROI Results'!I89</f>
        <v>1</v>
      </c>
      <c r="U48" s="759" t="b">
        <f>SUM(J48+J61)='ROI Results'!J89</f>
        <v>1</v>
      </c>
      <c r="V48" s="759" t="b">
        <f>SUM(K48+K61)='ROI Results'!K89</f>
        <v>1</v>
      </c>
      <c r="W48" s="759" t="b">
        <f>SUM(L48+L61)='ROI Results'!L89</f>
        <v>1</v>
      </c>
      <c r="X48" s="759" t="b">
        <f>SUM(M48+M61)='ROI Results'!M89</f>
        <v>1</v>
      </c>
      <c r="Y48" s="759" t="b">
        <f>SUM(N48+N61)='ROI Results'!N89</f>
        <v>1</v>
      </c>
      <c r="Z48" s="759" t="b">
        <f>SUM(O48+O61)='ROI Results'!O89</f>
        <v>1</v>
      </c>
    </row>
    <row r="49" spans="1:26" customFormat="1" ht="18" customHeight="1" x14ac:dyDescent="0.3">
      <c r="A49" s="941"/>
      <c r="B49" s="904" t="s">
        <v>136</v>
      </c>
      <c r="C49" s="905"/>
      <c r="D49" s="906"/>
      <c r="E49" s="858">
        <v>0</v>
      </c>
      <c r="F49" s="858">
        <v>0</v>
      </c>
      <c r="G49" s="858">
        <v>0</v>
      </c>
      <c r="H49" s="858">
        <v>0</v>
      </c>
      <c r="I49" s="858">
        <v>0</v>
      </c>
      <c r="J49" s="858">
        <v>0</v>
      </c>
      <c r="K49" s="858">
        <v>0</v>
      </c>
      <c r="L49" s="858">
        <v>0</v>
      </c>
      <c r="M49" s="858">
        <v>0</v>
      </c>
      <c r="N49" s="858">
        <v>0</v>
      </c>
      <c r="O49" s="858">
        <f t="shared" si="4"/>
        <v>0</v>
      </c>
      <c r="P49" s="759" t="b">
        <f ca="1">SUM(E49+E62)='ROI Results'!E90</f>
        <v>1</v>
      </c>
      <c r="Q49" s="759" t="b">
        <f ca="1">SUM(F49+F62)='ROI Results'!F90</f>
        <v>1</v>
      </c>
      <c r="R49" s="759" t="b">
        <f ca="1">SUM(G49+G62)='ROI Results'!G90</f>
        <v>1</v>
      </c>
      <c r="S49" s="759" t="b">
        <f ca="1">SUM(H49+H62)='ROI Results'!H90</f>
        <v>1</v>
      </c>
      <c r="T49" s="759" t="b">
        <f ca="1">SUM(I49+I62)='ROI Results'!I90</f>
        <v>1</v>
      </c>
      <c r="U49" s="759" t="b">
        <f ca="1">SUM(J49+J62)='ROI Results'!J90</f>
        <v>1</v>
      </c>
      <c r="V49" s="759" t="b">
        <f ca="1">SUM(K49+K62)='ROI Results'!K90</f>
        <v>1</v>
      </c>
      <c r="W49" s="759" t="b">
        <f ca="1">SUM(L49+L62)='ROI Results'!L90</f>
        <v>1</v>
      </c>
      <c r="X49" s="759" t="b">
        <f ca="1">SUM(M49+M62)='ROI Results'!M90</f>
        <v>1</v>
      </c>
      <c r="Y49" s="759" t="b">
        <f ca="1">SUM(N49+N62)='ROI Results'!N90</f>
        <v>1</v>
      </c>
      <c r="Z49" s="759" t="b">
        <f ca="1">SUM(O49+O62)='ROI Results'!O90</f>
        <v>1</v>
      </c>
    </row>
    <row r="50" spans="1:26" customFormat="1" ht="18" customHeight="1" x14ac:dyDescent="0.3">
      <c r="A50" s="941"/>
      <c r="B50" s="904" t="s">
        <v>184</v>
      </c>
      <c r="C50" s="905"/>
      <c r="D50" s="906"/>
      <c r="E50" s="858">
        <v>0</v>
      </c>
      <c r="F50" s="858">
        <v>0</v>
      </c>
      <c r="G50" s="858">
        <v>0</v>
      </c>
      <c r="H50" s="858">
        <v>0</v>
      </c>
      <c r="I50" s="858">
        <v>0</v>
      </c>
      <c r="J50" s="858">
        <v>0</v>
      </c>
      <c r="K50" s="858">
        <v>0</v>
      </c>
      <c r="L50" s="858">
        <v>0</v>
      </c>
      <c r="M50" s="858">
        <v>0</v>
      </c>
      <c r="N50" s="858">
        <v>0</v>
      </c>
      <c r="O50" s="858">
        <f t="shared" si="4"/>
        <v>0</v>
      </c>
      <c r="P50" s="759" t="b">
        <f>SUM(E50+E63)='ROI Results'!E91</f>
        <v>1</v>
      </c>
      <c r="Q50" s="759" t="b">
        <f>SUM(F50+F63)='ROI Results'!F91</f>
        <v>1</v>
      </c>
      <c r="R50" s="759" t="b">
        <f>SUM(G50+G63)='ROI Results'!G91</f>
        <v>1</v>
      </c>
      <c r="S50" s="759" t="b">
        <f>SUM(H50+H63)='ROI Results'!H91</f>
        <v>1</v>
      </c>
      <c r="T50" s="759" t="b">
        <f>SUM(I50+I63)='ROI Results'!I91</f>
        <v>1</v>
      </c>
      <c r="U50" s="759" t="b">
        <f>SUM(J50+J63)='ROI Results'!J91</f>
        <v>1</v>
      </c>
      <c r="V50" s="759" t="b">
        <f>SUM(K50+K63)='ROI Results'!K91</f>
        <v>1</v>
      </c>
      <c r="W50" s="759" t="b">
        <f>SUM(L50+L63)='ROI Results'!L91</f>
        <v>1</v>
      </c>
      <c r="X50" s="759" t="b">
        <f>SUM(M50+M63)='ROI Results'!M91</f>
        <v>1</v>
      </c>
      <c r="Y50" s="759" t="b">
        <f>SUM(N50+N63)='ROI Results'!N91</f>
        <v>1</v>
      </c>
      <c r="Z50" s="759" t="b">
        <f>SUM(O50+O63)='ROI Results'!O91</f>
        <v>1</v>
      </c>
    </row>
    <row r="51" spans="1:26" customFormat="1" ht="18" customHeight="1" x14ac:dyDescent="0.3">
      <c r="A51" s="941"/>
      <c r="B51" s="904" t="s">
        <v>185</v>
      </c>
      <c r="C51" s="905"/>
      <c r="D51" s="906"/>
      <c r="E51" s="858">
        <f ca="1">'ROI Results'!E92</f>
        <v>124921.87499999999</v>
      </c>
      <c r="F51" s="858">
        <f ca="1">'ROI Results'!F92</f>
        <v>135103.0078125</v>
      </c>
      <c r="G51" s="858">
        <f ca="1">'ROI Results'!G92</f>
        <v>146113.90294921875</v>
      </c>
      <c r="H51" s="858">
        <f ca="1">'ROI Results'!H92</f>
        <v>158022.18603958009</v>
      </c>
      <c r="I51" s="858">
        <f ca="1">'ROI Results'!I92</f>
        <v>170900.99420180582</v>
      </c>
      <c r="J51" s="858">
        <f ca="1">'ROI Results'!J92</f>
        <v>194070.89649071562</v>
      </c>
      <c r="K51" s="858">
        <f ca="1">'ROI Results'!K92</f>
        <v>209887.674554709</v>
      </c>
      <c r="L51" s="858">
        <f ca="1">'ROI Results'!L92</f>
        <v>226993.52003091777</v>
      </c>
      <c r="M51" s="858">
        <f ca="1">'ROI Results'!M92</f>
        <v>245493.49191343758</v>
      </c>
      <c r="N51" s="858">
        <f ca="1">'ROI Results'!N92</f>
        <v>265501.21150438272</v>
      </c>
      <c r="O51" s="858">
        <f t="shared" ca="1" si="4"/>
        <v>1877008.7604972676</v>
      </c>
      <c r="P51" s="759" t="b">
        <f ca="1">SUM(E51+E64)='ROI Results'!E92</f>
        <v>1</v>
      </c>
      <c r="Q51" s="759" t="b">
        <f ca="1">SUM(F51+F64)='ROI Results'!F92</f>
        <v>1</v>
      </c>
      <c r="R51" s="759" t="b">
        <f ca="1">SUM(G51+G64)='ROI Results'!G92</f>
        <v>1</v>
      </c>
      <c r="S51" s="759" t="b">
        <f ca="1">SUM(H51+H64)='ROI Results'!H92</f>
        <v>1</v>
      </c>
      <c r="T51" s="759" t="b">
        <f ca="1">SUM(I51+I64)='ROI Results'!I92</f>
        <v>1</v>
      </c>
      <c r="U51" s="759" t="b">
        <f ca="1">SUM(J51+J64)='ROI Results'!J92</f>
        <v>1</v>
      </c>
      <c r="V51" s="759" t="b">
        <f ca="1">SUM(K51+K64)='ROI Results'!K92</f>
        <v>1</v>
      </c>
      <c r="W51" s="759" t="b">
        <f ca="1">SUM(L51+L64)='ROI Results'!L92</f>
        <v>1</v>
      </c>
      <c r="X51" s="759" t="b">
        <f ca="1">SUM(M51+M64)='ROI Results'!M92</f>
        <v>1</v>
      </c>
      <c r="Y51" s="759" t="b">
        <f ca="1">SUM(N51+N64)='ROI Results'!N92</f>
        <v>1</v>
      </c>
      <c r="Z51" s="759" t="b">
        <f ca="1">SUM(O51+O64)='ROI Results'!O92</f>
        <v>1</v>
      </c>
    </row>
    <row r="52" spans="1:26" customFormat="1" ht="18" customHeight="1" x14ac:dyDescent="0.3">
      <c r="A52" s="941"/>
      <c r="B52" s="904" t="s">
        <v>427</v>
      </c>
      <c r="C52" s="905"/>
      <c r="D52" s="906"/>
      <c r="E52" s="858">
        <v>0</v>
      </c>
      <c r="F52" s="858">
        <v>0</v>
      </c>
      <c r="G52" s="858">
        <v>0</v>
      </c>
      <c r="H52" s="858">
        <v>0</v>
      </c>
      <c r="I52" s="858">
        <v>0</v>
      </c>
      <c r="J52" s="858">
        <v>0</v>
      </c>
      <c r="K52" s="858">
        <v>0</v>
      </c>
      <c r="L52" s="858">
        <v>0</v>
      </c>
      <c r="M52" s="858">
        <v>0</v>
      </c>
      <c r="N52" s="858">
        <v>0</v>
      </c>
      <c r="O52" s="858">
        <f t="shared" si="4"/>
        <v>0</v>
      </c>
      <c r="P52" s="759" t="b">
        <f ca="1">SUM(E52+E65)='ROI Results'!E93</f>
        <v>1</v>
      </c>
      <c r="Q52" s="759" t="b">
        <f ca="1">SUM(F52+F65)='ROI Results'!F93</f>
        <v>1</v>
      </c>
      <c r="R52" s="759" t="b">
        <f ca="1">SUM(G52+G65)='ROI Results'!G93</f>
        <v>1</v>
      </c>
      <c r="S52" s="759" t="b">
        <f ca="1">SUM(H52+H65)='ROI Results'!H93</f>
        <v>1</v>
      </c>
      <c r="T52" s="759" t="b">
        <f ca="1">SUM(I52+I65)='ROI Results'!I93</f>
        <v>1</v>
      </c>
      <c r="U52" s="759" t="b">
        <f ca="1">SUM(J52+J65)='ROI Results'!J93</f>
        <v>1</v>
      </c>
      <c r="V52" s="759" t="b">
        <f ca="1">SUM(K52+K65)='ROI Results'!K93</f>
        <v>1</v>
      </c>
      <c r="W52" s="759" t="b">
        <f ca="1">SUM(L52+L65)='ROI Results'!L93</f>
        <v>1</v>
      </c>
      <c r="X52" s="759" t="b">
        <f ca="1">SUM(M52+M65)='ROI Results'!M93</f>
        <v>1</v>
      </c>
      <c r="Y52" s="759" t="b">
        <f ca="1">SUM(N52+N65)='ROI Results'!N93</f>
        <v>1</v>
      </c>
      <c r="Z52" s="759" t="b">
        <f ca="1">SUM(O52+O65)='ROI Results'!O93</f>
        <v>1</v>
      </c>
    </row>
    <row r="53" spans="1:26" customFormat="1" ht="18" customHeight="1" x14ac:dyDescent="0.3">
      <c r="A53" s="941"/>
      <c r="E53" s="760"/>
      <c r="F53" s="760"/>
      <c r="G53" s="760"/>
      <c r="H53" s="760"/>
      <c r="I53" s="94"/>
      <c r="J53" s="952"/>
      <c r="K53" s="952"/>
      <c r="L53" s="952"/>
      <c r="M53" s="952"/>
      <c r="N53" s="952" t="s">
        <v>550</v>
      </c>
      <c r="O53" s="953">
        <f ca="1">SUM(O44:O52)</f>
        <v>17382798.743959453</v>
      </c>
      <c r="P53" s="1"/>
      <c r="Q53" s="52"/>
    </row>
    <row r="54" spans="1:26" customFormat="1" ht="18" customHeight="1" x14ac:dyDescent="0.3">
      <c r="P54" s="1"/>
      <c r="Q54" s="52"/>
    </row>
    <row r="55" spans="1:26" customFormat="1" ht="18" customHeight="1" x14ac:dyDescent="0.3">
      <c r="E55" s="47" t="s">
        <v>222</v>
      </c>
      <c r="P55" s="1"/>
      <c r="Q55" s="52"/>
    </row>
    <row r="56" spans="1:26" customFormat="1" ht="18" customHeight="1" x14ac:dyDescent="0.3">
      <c r="B56" s="58" t="s">
        <v>497</v>
      </c>
      <c r="C56" s="58"/>
      <c r="D56" s="58"/>
      <c r="E56" s="20" t="s">
        <v>9</v>
      </c>
      <c r="F56" s="20" t="s">
        <v>10</v>
      </c>
      <c r="G56" s="20" t="s">
        <v>11</v>
      </c>
      <c r="H56" s="948">
        <f>H$18</f>
        <v>4</v>
      </c>
      <c r="I56" s="948">
        <f t="shared" ref="I56:N56" si="5">I$18</f>
        <v>5</v>
      </c>
      <c r="J56" s="949">
        <f t="shared" si="5"/>
        <v>6</v>
      </c>
      <c r="K56" s="949">
        <f t="shared" si="5"/>
        <v>7</v>
      </c>
      <c r="L56" s="949">
        <f t="shared" si="5"/>
        <v>8</v>
      </c>
      <c r="M56" s="949">
        <f t="shared" si="5"/>
        <v>9</v>
      </c>
      <c r="N56" s="949">
        <f t="shared" si="5"/>
        <v>10</v>
      </c>
      <c r="O56" s="20" t="s">
        <v>17</v>
      </c>
      <c r="P56" s="1"/>
      <c r="Q56" s="52"/>
    </row>
    <row r="57" spans="1:26" customFormat="1" ht="18" customHeight="1" x14ac:dyDescent="0.3">
      <c r="B57" s="904" t="s">
        <v>40</v>
      </c>
      <c r="C57" s="905"/>
      <c r="D57" s="906"/>
      <c r="E57" s="209">
        <f>MIN(SUM('ROI Results'!$E56:E56),1)*'ROI Results'!$D85*(1+Growth)/AnalysisTerm+(1-MIN(SUM('ROI Results'!$E56:E56),1))*'ROI Results'!$D71*(1+Growth)/AnalysisTerm</f>
        <v>1923050.64</v>
      </c>
      <c r="F57" s="209">
        <f>(MIN(SUM('ROI Results'!$E56:F56),1)*'ROI Results'!$D85*((1+Growth)^2)/AnalysisTerm+(1-MIN(SUM('ROI Results'!$E56:F56),1))*'ROI Results'!$D71*((1+Growth)^2)/AnalysisTerm)*(1+Inflation)^1</f>
        <v>1916797.9093200001</v>
      </c>
      <c r="G57" s="209">
        <f>(MIN(SUM('ROI Results'!$E56:G56),1)*'ROI Results'!$D85*((1+Growth)^3)/AnalysisTerm+(1-MIN(SUM('ROI Results'!$E56:G56),1))*'ROI Results'!$D71*((1+Growth)^3)/AnalysisTerm)*(1+Inflation)^2</f>
        <v>1896752.6004256201</v>
      </c>
      <c r="H57" s="209">
        <f>IF(AnalysisTerm&gt;3,(MIN(SUM('ROI Results'!$E56:H56),1)*'ROI Results'!$D85*((1+Growth)^4)/AnalysisTerm+(1-MIN(SUM('ROI Results'!$E56:H56),1))*'ROI Results'!$D71*((1+Growth)^4)/AnalysisTerm)*(1+Inflation)^3," ")</f>
        <v>1860708.0552682756</v>
      </c>
      <c r="I57" s="209">
        <f>IF(AnalysisTerm&gt;3,(MIN(SUM('ROI Results'!$E56:I56),1)*'ROI Results'!$D85*((1+Growth)^5)/AnalysisTerm+(1-MIN(SUM('ROI Results'!$E56:I56),1))*'ROI Results'!$D71*((1+Growth)^5)/AnalysisTerm)*(1+Inflation)^4," ")</f>
        <v>1806189.5442901067</v>
      </c>
      <c r="J57" s="858">
        <f>IF(AnalysisTerm&gt;5,(MIN(SUM('ROI Results'!$E56:J56),1)*'ROI Results'!$D85*((1+Growth)^J$56)/AnalysisTerm+(1-MIN(SUM('ROI Results'!$E56:J56),1))*'ROI Results'!$D71*((1+Growth)^J$56)/AnalysisTerm)*(1+Inflation)^I$56," ")</f>
        <v>1730425.2279423899</v>
      </c>
      <c r="K57" s="858">
        <f>IF(AnalysisTerm&gt;5,(MIN(SUM('ROI Results'!$E56:K56),1)*'ROI Results'!$D85*((1+Growth)^K$56)/AnalysisTerm+(1-MIN(SUM('ROI Results'!$E56:K56),1))*'ROI Results'!$D71*((1+Growth)^K$56)/AnalysisTerm)*(1+Inflation)^J$56," ")</f>
        <v>1630314.1655294355</v>
      </c>
      <c r="L57" s="858">
        <f>IF(AnalysisTerm&gt;7,(MIN(SUM('ROI Results'!$E56:L56),1)*'ROI Results'!$D85*((1+Growth)^L$56)/AnalysisTerm+(1-MIN(SUM('ROI Results'!$E56:L56),1))*'ROI Results'!$D71*((1+Growth)^L$56)/AnalysisTerm)*(1+Inflation)^K$56," ")</f>
        <v>1502391.0829728686</v>
      </c>
      <c r="M57" s="858">
        <f>IF(AnalysisTerm&gt;7,(MIN(SUM('ROI Results'!$E56:M56),1)*'ROI Results'!$D85*((1+Growth)^M$56)/AnalysisTerm+(1-MIN(SUM('ROI Results'!$E56:M56),1))*'ROI Results'!$D71*((1+Growth)^M$56)/AnalysisTerm)*(1+Inflation)^L$56," ")</f>
        <v>1342787.583693593</v>
      </c>
      <c r="N57" s="858">
        <f>IF(AnalysisTerm&gt;7,(MIN(SUM('ROI Results'!$E56:N56),1)*'ROI Results'!$D85*((1+Growth)^N$56)/AnalysisTerm+(1-MIN(SUM('ROI Results'!$E56:N56),1))*'ROI Results'!$D71*((1+Growth)^N$56)/AnalysisTerm)*(1+Inflation)^M$56," ")</f>
        <v>1147189.4568609197</v>
      </c>
      <c r="O57" s="858">
        <f>SUM(E57:N57)</f>
        <v>16756606.266303213</v>
      </c>
      <c r="P57" s="1"/>
      <c r="Q57" s="52"/>
    </row>
    <row r="58" spans="1:26" customFormat="1" ht="18" customHeight="1" x14ac:dyDescent="0.3">
      <c r="B58" s="904" t="s">
        <v>41</v>
      </c>
      <c r="C58" s="905"/>
      <c r="D58" s="906"/>
      <c r="E58" s="209">
        <f>MIN(SUM('ROI Results'!$E57:E57),1)*'ROI Results'!$D86*(1+Growth)/AnalysisTerm+(1-MIN(SUM('ROI Results'!$E57:E57),1))*'ROI Results'!$D72*(1+Growth)/AnalysisTerm</f>
        <v>696896.95950000011</v>
      </c>
      <c r="F58" s="209">
        <f>(MIN(SUM('ROI Results'!$E57:F57),1)*'ROI Results'!$D86*((1+Growth)^2)/AnalysisTerm+(1-MIN(SUM('ROI Results'!$E57:F57),1))*'ROI Results'!$D72*((1+Growth)^2)/AnalysisTerm)*(1+Inflation)^1</f>
        <v>692207.54706600017</v>
      </c>
      <c r="G58" s="209">
        <f>(MIN(SUM('ROI Results'!$E57:G57),1)*'ROI Results'!$D86*((1+Growth)^3)/AnalysisTerm+(1-MIN(SUM('ROI Results'!$E57:G57),1))*'ROI Results'!$D72*((1+Growth)^3)/AnalysisTerm)*(1+Inflation)^2</f>
        <v>682124.79657601914</v>
      </c>
      <c r="H58" s="209">
        <f>IF(AnalysisTerm&gt;3,(MIN(SUM('ROI Results'!$E57:H57),1)*'ROI Results'!$D86*((1+Growth)^4)/AnalysisTerm+(1-MIN(SUM('ROI Results'!$E57:H57),1))*'ROI Results'!$D72*((1+Growth)^4)/AnalysisTerm)*(1+Inflation)^3," ")</f>
        <v>665800.74217667209</v>
      </c>
      <c r="I58" s="209">
        <f>IF(AnalysisTerm&gt;3,(MIN(SUM('ROI Results'!$E57:I57),1)*'ROI Results'!$D86*((1+Growth)^5)/AnalysisTerm+(1-MIN(SUM('ROI Results'!$E57:I57),1))*'ROI Results'!$D72*((1+Growth)^5)/AnalysisTerm)*(1+Inflation)^4," ")</f>
        <v>642285.02348017471</v>
      </c>
      <c r="J58" s="858">
        <f>IF(AnalysisTerm&gt;5,(MIN(SUM('ROI Results'!$E57:J57),1)*'ROI Results'!$D86*((1+Growth)^J$56)/AnalysisTerm+(1-MIN(SUM('ROI Results'!$E57:J57),1))*'ROI Results'!$D72*((1+Growth)^J$56)/AnalysisTerm)*(1+Inflation)^I$56," ")</f>
        <v>610513.82765642507</v>
      </c>
      <c r="K58" s="858">
        <f>IF(AnalysisTerm&gt;5,(MIN(SUM('ROI Results'!$E57:K57),1)*'ROI Results'!$D86*((1+Growth)^K$56)/AnalysisTerm+(1-MIN(SUM('ROI Results'!$E57:K57),1))*'ROI Results'!$D72*((1+Growth)^K$56)/AnalysisTerm)*(1+Inflation)^J$56," ")</f>
        <v>569297.70921619318</v>
      </c>
      <c r="L58" s="858">
        <f>IF(AnalysisTerm&gt;7,(MIN(SUM('ROI Results'!$E57:L57),1)*'ROI Results'!$D86*((1+Growth)^L$56)/AnalysisTerm+(1-MIN(SUM('ROI Results'!$E57:L57),1))*'ROI Results'!$D72*((1+Growth)^L$56)/AnalysisTerm)*(1+Inflation)^K$56," ")</f>
        <v>517308.17799845262</v>
      </c>
      <c r="M58" s="858">
        <f>IF(AnalysisTerm&gt;7,(MIN(SUM('ROI Results'!$E57:M57),1)*'ROI Results'!$D86*((1+Growth)^M$56)/AnalysisTerm+(1-MIN(SUM('ROI Results'!$E57:M57),1))*'ROI Results'!$D72*((1+Growth)^M$56)/AnalysisTerm)*(1+Inflation)^L$56," ")</f>
        <v>453062.93548317894</v>
      </c>
      <c r="N58" s="858">
        <f>IF(AnalysisTerm&gt;7,(MIN(SUM('ROI Results'!$E57:N57),1)*'ROI Results'!$D86*((1+Growth)^N$56)/AnalysisTerm+(1-MIN(SUM('ROI Results'!$E57:N57),1))*'ROI Results'!$D72*((1+Growth)^N$56)/AnalysisTerm)*(1+Inflation)^M$56," ")</f>
        <v>374909.62819260551</v>
      </c>
      <c r="O58" s="858">
        <f t="shared" ref="O58:O65" si="6">SUM(E58:N58)</f>
        <v>5904407.347345721</v>
      </c>
      <c r="P58" s="1"/>
      <c r="Q58" s="52"/>
    </row>
    <row r="59" spans="1:26" customFormat="1" ht="18" customHeight="1" x14ac:dyDescent="0.3">
      <c r="B59" s="904" t="s">
        <v>182</v>
      </c>
      <c r="C59" s="905"/>
      <c r="D59" s="906"/>
      <c r="E59" s="209">
        <f>MIN(SUM('ROI Results'!$E58:E58),1)*'ROI Results'!$D87*(1+Growth)/AnalysisTerm+(1-MIN(SUM('ROI Results'!$E58:E58),1))*'ROI Results'!$D73*(1+Growth)/AnalysisTerm</f>
        <v>190702.44900000002</v>
      </c>
      <c r="F59" s="209">
        <f>(MIN(SUM('ROI Results'!$E58:F58),1)*'ROI Results'!$D87*((1+Growth)^2)/AnalysisTerm+(1-MIN(SUM('ROI Results'!$E58:F58),1))*'ROI Results'!$D73*((1+Growth)^2)/AnalysisTerm)*(1+Inflation)^1</f>
        <v>190094.75534700003</v>
      </c>
      <c r="G59" s="209">
        <f>(MIN(SUM('ROI Results'!$E58:G58),1)*'ROI Results'!$D87*((1+Growth)^3)/AnalysisTerm+(1-MIN(SUM('ROI Results'!$E58:G58),1))*'ROI Results'!$D73*((1+Growth)^3)/AnalysisTerm)*(1+Inflation)^2</f>
        <v>188121.31428669076</v>
      </c>
      <c r="H59" s="209">
        <f>IF(AnalysisTerm&gt;3,(MIN(SUM('ROI Results'!$E58:H58),1)*'ROI Results'!$D87*((1+Growth)^4)/AnalysisTerm+(1-MIN(SUM('ROI Results'!$E58:H58),1))*'ROI Results'!$D73*((1+Growth)^4)/AnalysisTerm)*(1+Inflation)^3," ")</f>
        <v>184563.54544484749</v>
      </c>
      <c r="I59" s="209">
        <f>IF(AnalysisTerm&gt;3,(MIN(SUM('ROI Results'!$E58:I58),1)*'ROI Results'!$D87*((1+Growth)^5)/AnalysisTerm+(1-MIN(SUM('ROI Results'!$E58:I58),1))*'ROI Results'!$D73*((1+Growth)^5)/AnalysisTerm)*(1+Inflation)^4," ")</f>
        <v>179176.311481963</v>
      </c>
      <c r="J59" s="858">
        <f>IF(AnalysisTerm&gt;5,(MIN(SUM('ROI Results'!$E58:J58),1)*'ROI Results'!$D87*((1+Growth)^J$56)/AnalysisTerm+(1-MIN(SUM('ROI Results'!$E58:J58),1))*'ROI Results'!$D73*((1+Growth)^J$56)/AnalysisTerm)*(1+Inflation)^I$56," ")</f>
        <v>171685.04117339727</v>
      </c>
      <c r="K59" s="858">
        <f>IF(AnalysisTerm&gt;5,(MIN(SUM('ROI Results'!$E58:K58),1)*'ROI Results'!$D87*((1+Growth)^K$56)/AnalysisTerm+(1-MIN(SUM('ROI Results'!$E58:K58),1))*'ROI Results'!$D73*((1+Growth)^K$56)/AnalysisTerm)*(1+Inflation)^J$56," ")</f>
        <v>161782.55994959432</v>
      </c>
      <c r="L59" s="858">
        <f>IF(AnalysisTerm&gt;7,(MIN(SUM('ROI Results'!$E58:L58),1)*'ROI Results'!$D87*((1+Growth)^L$56)/AnalysisTerm+(1-MIN(SUM('ROI Results'!$E58:L58),1))*'ROI Results'!$D73*((1+Growth)^L$56)/AnalysisTerm)*(1+Inflation)^K$56," ")</f>
        <v>149125.59932157747</v>
      </c>
      <c r="M59" s="858">
        <f>IF(AnalysisTerm&gt;7,(MIN(SUM('ROI Results'!$E58:M58),1)*'ROI Results'!$D87*((1+Growth)^M$56)/AnalysisTerm+(1-MIN(SUM('ROI Results'!$E58:M58),1))*'ROI Results'!$D73*((1+Growth)^M$56)/AnalysisTerm)*(1+Inflation)^L$56," ")</f>
        <v>133330.95390236867</v>
      </c>
      <c r="N59" s="858">
        <f>IF(AnalysisTerm&gt;7,(MIN(SUM('ROI Results'!$E58:N58),1)*'ROI Results'!$D87*((1+Growth)^N$56)/AnalysisTerm+(1-MIN(SUM('ROI Results'!$E58:N58),1))*'ROI Results'!$D73*((1+Growth)^N$56)/AnalysisTerm)*(1+Inflation)^M$56," ")</f>
        <v>113971.25176773504</v>
      </c>
      <c r="O59" s="858">
        <f t="shared" si="6"/>
        <v>1662553.7816751739</v>
      </c>
      <c r="P59" s="1"/>
      <c r="Q59" s="52"/>
    </row>
    <row r="60" spans="1:26" customFormat="1" ht="18" customHeight="1" x14ac:dyDescent="0.3">
      <c r="B60" s="904" t="s">
        <v>149</v>
      </c>
      <c r="C60" s="905"/>
      <c r="D60" s="906"/>
      <c r="E60" s="209">
        <f>'ROI Results'!E88</f>
        <v>1638140.8</v>
      </c>
      <c r="F60" s="209">
        <f>'ROI Results'!F88</f>
        <v>1638140.8</v>
      </c>
      <c r="G60" s="209">
        <f>'ROI Results'!G88</f>
        <v>1638140.8</v>
      </c>
      <c r="H60" s="209">
        <f>'ROI Results'!H88</f>
        <v>1638140.8</v>
      </c>
      <c r="I60" s="209">
        <f>'ROI Results'!I88</f>
        <v>1638140.8</v>
      </c>
      <c r="J60" s="858">
        <f>'ROI Results'!J88</f>
        <v>138140.79999999999</v>
      </c>
      <c r="K60" s="858">
        <f>'ROI Results'!K88</f>
        <v>138140.79999999999</v>
      </c>
      <c r="L60" s="858">
        <f>'ROI Results'!L88</f>
        <v>138140.79999999999</v>
      </c>
      <c r="M60" s="858">
        <f>'ROI Results'!M88</f>
        <v>138140.79999999999</v>
      </c>
      <c r="N60" s="858">
        <f>'ROI Results'!N88</f>
        <v>138140.79999999999</v>
      </c>
      <c r="O60" s="858">
        <f t="shared" si="6"/>
        <v>8881408.0000000019</v>
      </c>
      <c r="P60" s="1"/>
      <c r="Q60" s="52"/>
    </row>
    <row r="61" spans="1:26" customFormat="1" ht="18" customHeight="1" x14ac:dyDescent="0.3">
      <c r="B61" s="904" t="s">
        <v>183</v>
      </c>
      <c r="C61" s="905"/>
      <c r="D61" s="906"/>
      <c r="E61" s="209">
        <f>'ROI Results'!E89</f>
        <v>2315956.1554999999</v>
      </c>
      <c r="F61" s="209">
        <f>'ROI Results'!F89</f>
        <v>2322029.1577665005</v>
      </c>
      <c r="G61" s="209">
        <f>'ROI Results'!G89</f>
        <v>2313708.8996285694</v>
      </c>
      <c r="H61" s="209">
        <f>'ROI Results'!H89</f>
        <v>2288608.9412409822</v>
      </c>
      <c r="I61" s="209">
        <f>'ROI Results'!I89</f>
        <v>2244049.4566976596</v>
      </c>
      <c r="J61" s="858">
        <f>'ROI Results'!J89</f>
        <v>2285876.5266055083</v>
      </c>
      <c r="K61" s="858">
        <f>'ROI Results'!K89</f>
        <v>2188379.1186224315</v>
      </c>
      <c r="L61" s="858">
        <f>'ROI Results'!L89</f>
        <v>2059806.2697792666</v>
      </c>
      <c r="M61" s="858">
        <f>'ROI Results'!M89</f>
        <v>1895740.285373996</v>
      </c>
      <c r="N61" s="858">
        <f>'ROI Results'!N89</f>
        <v>1691249.797315225</v>
      </c>
      <c r="O61" s="858">
        <f t="shared" si="6"/>
        <v>21605404.608530141</v>
      </c>
      <c r="P61" s="1"/>
      <c r="Q61" s="52"/>
    </row>
    <row r="62" spans="1:26" customFormat="1" ht="18" customHeight="1" x14ac:dyDescent="0.3">
      <c r="B62" s="904" t="s">
        <v>136</v>
      </c>
      <c r="C62" s="905"/>
      <c r="D62" s="906"/>
      <c r="E62" s="209">
        <f ca="1">'ROI Results'!E90</f>
        <v>4372744.5465394054</v>
      </c>
      <c r="F62" s="209">
        <f ca="1">'ROI Results'!F90</f>
        <v>4496373.3005401036</v>
      </c>
      <c r="G62" s="209">
        <f ca="1">'ROI Results'!G90</f>
        <v>4611108.6789786639</v>
      </c>
      <c r="H62" s="209">
        <f ca="1">'ROI Results'!H90</f>
        <v>4714679.888547197</v>
      </c>
      <c r="I62" s="209">
        <f ca="1">'ROI Results'!I90</f>
        <v>4804505.0686524538</v>
      </c>
      <c r="J62" s="858">
        <f ca="1">'ROI Results'!J90</f>
        <v>5121538.4541564258</v>
      </c>
      <c r="K62" s="858">
        <f ca="1">'ROI Results'!K90</f>
        <v>5177357.9517735345</v>
      </c>
      <c r="L62" s="858">
        <f ca="1">'ROI Results'!L90</f>
        <v>5208257.4887051107</v>
      </c>
      <c r="M62" s="858">
        <f ca="1">'ROI Results'!M90</f>
        <v>5209804.3443013653</v>
      </c>
      <c r="N62" s="858">
        <f ca="1">'ROI Results'!N90</f>
        <v>5177008.7890554592</v>
      </c>
      <c r="O62" s="858">
        <f t="shared" ca="1" si="6"/>
        <v>48893378.511249721</v>
      </c>
      <c r="P62" s="1"/>
      <c r="Q62" s="52"/>
    </row>
    <row r="63" spans="1:26" customFormat="1" ht="18" customHeight="1" x14ac:dyDescent="0.3">
      <c r="B63" s="904" t="s">
        <v>184</v>
      </c>
      <c r="C63" s="905"/>
      <c r="D63" s="906"/>
      <c r="E63" s="209">
        <f>'ROI Results'!E91</f>
        <v>137500</v>
      </c>
      <c r="F63" s="209">
        <f>'ROI Results'!F91</f>
        <v>137500</v>
      </c>
      <c r="G63" s="209">
        <f>'ROI Results'!G91</f>
        <v>137500</v>
      </c>
      <c r="H63" s="209">
        <f>'ROI Results'!H91</f>
        <v>137500</v>
      </c>
      <c r="I63" s="209">
        <f>'ROI Results'!I91</f>
        <v>137500</v>
      </c>
      <c r="J63" s="858">
        <f>'ROI Results'!J91</f>
        <v>137500</v>
      </c>
      <c r="K63" s="858">
        <f>'ROI Results'!K91</f>
        <v>137500</v>
      </c>
      <c r="L63" s="858">
        <f>'ROI Results'!L91</f>
        <v>137500</v>
      </c>
      <c r="M63" s="858">
        <f>'ROI Results'!M91</f>
        <v>137500</v>
      </c>
      <c r="N63" s="858">
        <f>'ROI Results'!N91</f>
        <v>137500</v>
      </c>
      <c r="O63" s="858">
        <f t="shared" si="6"/>
        <v>1375000</v>
      </c>
      <c r="P63" s="1"/>
      <c r="Q63" s="52"/>
    </row>
    <row r="64" spans="1:26" customFormat="1" ht="18" customHeight="1" x14ac:dyDescent="0.3">
      <c r="B64" s="904" t="s">
        <v>185</v>
      </c>
      <c r="C64" s="905"/>
      <c r="D64" s="906"/>
      <c r="E64" s="209">
        <v>0</v>
      </c>
      <c r="F64" s="209">
        <v>0</v>
      </c>
      <c r="G64" s="209">
        <v>0</v>
      </c>
      <c r="H64" s="209">
        <v>0</v>
      </c>
      <c r="I64" s="209">
        <v>0</v>
      </c>
      <c r="J64" s="858">
        <v>0</v>
      </c>
      <c r="K64" s="858">
        <v>0</v>
      </c>
      <c r="L64" s="858">
        <v>0</v>
      </c>
      <c r="M64" s="858">
        <v>0</v>
      </c>
      <c r="N64" s="858">
        <v>0</v>
      </c>
      <c r="O64" s="858">
        <f t="shared" si="6"/>
        <v>0</v>
      </c>
      <c r="P64" s="1"/>
      <c r="Q64" s="52"/>
    </row>
    <row r="65" spans="2:17" customFormat="1" ht="18" customHeight="1" x14ac:dyDescent="0.3">
      <c r="B65" s="904" t="s">
        <v>427</v>
      </c>
      <c r="C65" s="905"/>
      <c r="D65" s="906"/>
      <c r="E65" s="209">
        <f ca="1">'ROI Results'!E93</f>
        <v>156000</v>
      </c>
      <c r="F65" s="209">
        <f ca="1">'ROI Results'!F93</f>
        <v>0</v>
      </c>
      <c r="G65" s="209">
        <f ca="1">'ROI Results'!G93</f>
        <v>0</v>
      </c>
      <c r="H65" s="209">
        <f ca="1">'ROI Results'!H93</f>
        <v>0</v>
      </c>
      <c r="I65" s="209">
        <f ca="1">'ROI Results'!I93</f>
        <v>0</v>
      </c>
      <c r="J65" s="858">
        <f ca="1">'ROI Results'!J93</f>
        <v>0</v>
      </c>
      <c r="K65" s="858">
        <f ca="1">'ROI Results'!K93</f>
        <v>0</v>
      </c>
      <c r="L65" s="858">
        <f ca="1">'ROI Results'!L93</f>
        <v>0</v>
      </c>
      <c r="M65" s="858">
        <f ca="1">'ROI Results'!M93</f>
        <v>0</v>
      </c>
      <c r="N65" s="858">
        <f ca="1">'ROI Results'!N93</f>
        <v>0</v>
      </c>
      <c r="O65" s="858">
        <f t="shared" ca="1" si="6"/>
        <v>156000</v>
      </c>
      <c r="P65" s="1"/>
      <c r="Q65" s="52"/>
    </row>
    <row r="66" spans="2:17" customFormat="1" ht="18" customHeight="1" x14ac:dyDescent="0.3">
      <c r="I66" s="94"/>
      <c r="J66" s="516"/>
      <c r="K66" s="516"/>
      <c r="L66" s="516"/>
      <c r="M66" s="516"/>
      <c r="N66" s="516" t="s">
        <v>551</v>
      </c>
      <c r="O66" s="517">
        <f ca="1">SUM(O57:O65)</f>
        <v>105234758.51510397</v>
      </c>
      <c r="P66" s="1"/>
      <c r="Q66" s="52"/>
    </row>
    <row r="67" spans="2:17" customFormat="1" ht="18" customHeight="1" x14ac:dyDescent="0.3">
      <c r="P67" s="1"/>
      <c r="Q67" s="52"/>
    </row>
    <row r="68" spans="2:17" ht="16.2" customHeight="1" thickBot="1" x14ac:dyDescent="0.35">
      <c r="B68" s="274" t="s">
        <v>552</v>
      </c>
      <c r="C68" s="284"/>
      <c r="D68" s="284"/>
      <c r="E68" s="129"/>
    </row>
    <row r="69" spans="2:17" ht="16.2" customHeight="1" thickTop="1" x14ac:dyDescent="0.3">
      <c r="E69" s="129"/>
    </row>
    <row r="70" spans="2:17" ht="16.2" customHeight="1" x14ac:dyDescent="0.3">
      <c r="B70" s="512" t="s">
        <v>553</v>
      </c>
      <c r="E70" s="129"/>
    </row>
    <row r="71" spans="2:17" ht="16.2" customHeight="1" x14ac:dyDescent="0.3">
      <c r="B71" s="94" t="s">
        <v>548</v>
      </c>
      <c r="C71" s="514">
        <f ca="1">ROUND('Excel Output'!C39/AnalysisTerm/Transition!B25,0)</f>
        <v>4294</v>
      </c>
      <c r="E71" s="758"/>
      <c r="F71" s="761"/>
    </row>
    <row r="72" spans="2:17" ht="16.2" customHeight="1" x14ac:dyDescent="0.3">
      <c r="B72" s="94" t="s">
        <v>549</v>
      </c>
      <c r="C72" s="514">
        <f ca="1">ROUND(Transition!B20/AnalysisTerm/(Transition!D25*(1+Growth)^AnalysisTerm),0)</f>
        <v>1664</v>
      </c>
      <c r="E72" s="758"/>
    </row>
    <row r="73" spans="2:17" ht="16.2" customHeight="1" x14ac:dyDescent="0.3">
      <c r="E73" s="129"/>
    </row>
    <row r="74" spans="2:17" ht="16.2" customHeight="1" x14ac:dyDescent="0.3">
      <c r="E74" s="129"/>
    </row>
    <row r="75" spans="2:17" ht="16.2" customHeight="1" x14ac:dyDescent="0.3">
      <c r="B75" s="512" t="s">
        <v>554</v>
      </c>
      <c r="E75" s="129"/>
    </row>
    <row r="76" spans="2:17" ht="16.2" customHeight="1" x14ac:dyDescent="0.3">
      <c r="B76" s="94" t="s">
        <v>429</v>
      </c>
      <c r="C76" s="130" t="s">
        <v>556</v>
      </c>
      <c r="E76" s="758"/>
    </row>
    <row r="77" spans="2:17" ht="16.2" customHeight="1" x14ac:dyDescent="0.3">
      <c r="B77" s="520" t="s">
        <v>221</v>
      </c>
      <c r="C77" s="515">
        <f ca="1">O28/1000000</f>
        <v>56.578574654055949</v>
      </c>
      <c r="D77" s="94" t="s">
        <v>555</v>
      </c>
      <c r="E77" s="955"/>
    </row>
    <row r="78" spans="2:17" ht="16.2" customHeight="1" x14ac:dyDescent="0.3">
      <c r="B78" s="520" t="s">
        <v>222</v>
      </c>
      <c r="C78" s="515">
        <f ca="1">O41/1000000</f>
        <v>158.10429404528128</v>
      </c>
      <c r="D78" s="94" t="s">
        <v>555</v>
      </c>
      <c r="E78" s="955"/>
      <c r="F78" s="513"/>
      <c r="G78" s="513"/>
      <c r="H78" s="513"/>
      <c r="I78" s="513"/>
      <c r="J78" s="513"/>
      <c r="K78" s="513"/>
      <c r="L78" s="513"/>
      <c r="M78" s="513"/>
      <c r="N78" s="513"/>
    </row>
    <row r="79" spans="2:17" ht="16.2" customHeight="1" x14ac:dyDescent="0.3">
      <c r="E79" s="956"/>
    </row>
    <row r="80" spans="2:17" ht="16.2" customHeight="1" x14ac:dyDescent="0.3">
      <c r="B80" s="94" t="s">
        <v>13</v>
      </c>
      <c r="C80" s="521" t="s">
        <v>556</v>
      </c>
      <c r="E80" s="956"/>
    </row>
    <row r="81" spans="2:5" ht="16.2" customHeight="1" x14ac:dyDescent="0.3">
      <c r="B81" s="520" t="s">
        <v>221</v>
      </c>
      <c r="C81" s="515">
        <f ca="1">Misc!O53/1000000</f>
        <v>17.382798743959452</v>
      </c>
      <c r="D81" s="94" t="s">
        <v>555</v>
      </c>
      <c r="E81" s="955"/>
    </row>
    <row r="82" spans="2:5" ht="16.2" customHeight="1" x14ac:dyDescent="0.3">
      <c r="B82" s="520" t="s">
        <v>222</v>
      </c>
      <c r="C82" s="515">
        <f ca="1">Misc!O66/1000000</f>
        <v>105.23475851510396</v>
      </c>
      <c r="D82" s="94" t="s">
        <v>555</v>
      </c>
      <c r="E82" s="955"/>
    </row>
    <row r="83" spans="2:5" ht="16.2" customHeight="1" x14ac:dyDescent="0.3">
      <c r="E83" s="129"/>
    </row>
    <row r="84" spans="2:5" ht="16.2" customHeight="1" x14ac:dyDescent="0.3">
      <c r="E84" s="129"/>
    </row>
    <row r="85" spans="2:5" ht="16.2" customHeight="1" thickBot="1" x14ac:dyDescent="0.35">
      <c r="B85" s="274" t="s">
        <v>738</v>
      </c>
      <c r="C85" s="284"/>
      <c r="D85" s="284"/>
      <c r="E85" s="129"/>
    </row>
    <row r="86" spans="2:5" ht="16.2" customHeight="1" thickTop="1" x14ac:dyDescent="0.3">
      <c r="E86" s="129"/>
    </row>
    <row r="87" spans="2:5" ht="16.2" customHeight="1" x14ac:dyDescent="0.3">
      <c r="B87" s="94" t="s">
        <v>617</v>
      </c>
      <c r="C87" s="94" t="str">
        <f>IF('Initial Screens'!C13="VCF","VMware Cloud Foundation",IF('Initial Screens'!C13="VVF","VMware vSphere Foundation","VMware vSphere Foundation w/ vSAN"))</f>
        <v>VMware vSphere Foundation w/ vSAN</v>
      </c>
      <c r="E87" s="129"/>
    </row>
    <row r="88" spans="2:5" ht="16.2" customHeight="1" x14ac:dyDescent="0.3">
      <c r="B88" s="520" t="s">
        <v>618</v>
      </c>
      <c r="C88" s="572">
        <f ca="1">'Excel Output'!C39-Transition!D20</f>
        <v>158258989.39246225</v>
      </c>
    </row>
    <row r="89" spans="2:5" ht="16.2" customHeight="1" x14ac:dyDescent="0.3">
      <c r="B89" s="520" t="s">
        <v>619</v>
      </c>
      <c r="C89" s="573">
        <f ca="1">('Excel Output'!C39-Transition!D20)/'Excel Output'!C39</f>
        <v>0.73717567848463739</v>
      </c>
    </row>
    <row r="90" spans="2:5" ht="16.2" customHeight="1" x14ac:dyDescent="0.3"/>
    <row r="91" spans="2:5" ht="16.2" customHeight="1" x14ac:dyDescent="0.3">
      <c r="B91" s="105" t="s">
        <v>653</v>
      </c>
    </row>
    <row r="93" spans="2:5" ht="16.2" thickBot="1" x14ac:dyDescent="0.35">
      <c r="B93" s="274" t="s">
        <v>739</v>
      </c>
      <c r="C93" s="284"/>
      <c r="D93" s="284"/>
    </row>
    <row r="94" spans="2:5" ht="16.2" thickTop="1" x14ac:dyDescent="0.3"/>
    <row r="95" spans="2:5" x14ac:dyDescent="0.3">
      <c r="B95" s="561"/>
      <c r="C95" s="96"/>
    </row>
    <row r="96" spans="2:5" x14ac:dyDescent="0.3">
      <c r="B96" s="561" t="s">
        <v>288</v>
      </c>
      <c r="C96" s="96"/>
    </row>
    <row r="97" spans="2:4" x14ac:dyDescent="0.3">
      <c r="B97" s="561" t="s">
        <v>463</v>
      </c>
      <c r="C97" s="100"/>
    </row>
    <row r="99" spans="2:4" ht="16.2" thickBot="1" x14ac:dyDescent="0.35">
      <c r="B99" s="274" t="s">
        <v>740</v>
      </c>
      <c r="C99" s="284"/>
      <c r="D99" s="284"/>
    </row>
    <row r="100" spans="2:4" ht="16.2" thickTop="1" x14ac:dyDescent="0.3">
      <c r="B100" s="129"/>
    </row>
    <row r="101" spans="2:4" x14ac:dyDescent="0.3">
      <c r="B101" s="232">
        <v>1600</v>
      </c>
    </row>
    <row r="102" spans="2:4" x14ac:dyDescent="0.3">
      <c r="B102" s="232">
        <v>1920</v>
      </c>
    </row>
    <row r="103" spans="2:4" x14ac:dyDescent="0.3">
      <c r="B103" s="232">
        <v>3200</v>
      </c>
    </row>
    <row r="104" spans="2:4" x14ac:dyDescent="0.3">
      <c r="B104" s="232">
        <v>3840</v>
      </c>
    </row>
    <row r="105" spans="2:4" x14ac:dyDescent="0.3">
      <c r="B105" s="232">
        <v>6400</v>
      </c>
    </row>
    <row r="106" spans="2:4" x14ac:dyDescent="0.3">
      <c r="B106" s="232">
        <v>7680</v>
      </c>
    </row>
    <row r="107" spans="2:4" x14ac:dyDescent="0.3">
      <c r="B107" s="232">
        <f>12.8*1000</f>
        <v>12800</v>
      </c>
    </row>
    <row r="108" spans="2:4" x14ac:dyDescent="0.3">
      <c r="B108" s="232">
        <f>15.36*1000</f>
        <v>15360</v>
      </c>
    </row>
    <row r="110" spans="2:4" ht="16.2" thickBot="1" x14ac:dyDescent="0.35">
      <c r="B110" s="274" t="s">
        <v>741</v>
      </c>
      <c r="C110" s="284"/>
      <c r="D110" s="284"/>
    </row>
    <row r="111" spans="2:4" ht="16.2" thickTop="1" x14ac:dyDescent="0.3"/>
    <row r="112" spans="2:4" x14ac:dyDescent="0.3">
      <c r="B112" s="117" t="s">
        <v>110</v>
      </c>
    </row>
    <row r="113" spans="2:16" x14ac:dyDescent="0.3">
      <c r="B113" s="122" t="s">
        <v>108</v>
      </c>
    </row>
    <row r="114" spans="2:16" x14ac:dyDescent="0.3">
      <c r="B114" s="124">
        <v>9.2902999999999999E-2</v>
      </c>
      <c r="C114" s="123" t="s">
        <v>113</v>
      </c>
    </row>
    <row r="117" spans="2:16" ht="16.2" thickBot="1" x14ac:dyDescent="0.35">
      <c r="B117" s="274" t="s">
        <v>742</v>
      </c>
      <c r="C117" s="274"/>
      <c r="D117" s="284"/>
      <c r="E117" s="284"/>
      <c r="F117" s="284"/>
      <c r="G117" s="284"/>
      <c r="H117" s="284"/>
      <c r="P117" s="821">
        <f>(99.7%-99.4%)/99.4%</f>
        <v>3.0181086519113593E-3</v>
      </c>
    </row>
    <row r="118" spans="2:16" ht="16.2" thickTop="1" x14ac:dyDescent="0.3">
      <c r="C118" s="2"/>
      <c r="D118" s="2"/>
      <c r="E118" s="2"/>
      <c r="F118" s="2"/>
      <c r="G118" s="2"/>
      <c r="H118" s="2"/>
    </row>
    <row r="119" spans="2:16" x14ac:dyDescent="0.3">
      <c r="B119" s="687" t="s">
        <v>604</v>
      </c>
      <c r="C119" s="562" t="str">
        <f>'Initial Screens'!C13</f>
        <v>VCF 9</v>
      </c>
      <c r="D119" s="2"/>
      <c r="E119" s="2"/>
      <c r="F119" s="2"/>
      <c r="G119" s="16"/>
      <c r="O119" s="560" t="s">
        <v>603</v>
      </c>
    </row>
    <row r="120" spans="2:16" x14ac:dyDescent="0.3">
      <c r="B120" s="688" t="s">
        <v>594</v>
      </c>
      <c r="C120" s="551" t="s">
        <v>598</v>
      </c>
      <c r="D120" s="551" t="s">
        <v>597</v>
      </c>
      <c r="E120" s="551" t="s">
        <v>600</v>
      </c>
      <c r="F120" s="551" t="s">
        <v>599</v>
      </c>
      <c r="G120" s="551" t="s">
        <v>788</v>
      </c>
      <c r="H120" s="94" t="s">
        <v>812</v>
      </c>
      <c r="O120" s="561"/>
    </row>
    <row r="121" spans="2:16" x14ac:dyDescent="0.3">
      <c r="B121" s="689" t="s">
        <v>346</v>
      </c>
      <c r="C121" s="165">
        <f>IF('Initial Screens'!$D$26="Yes",0.8,0)</f>
        <v>0</v>
      </c>
      <c r="D121" s="165">
        <v>0</v>
      </c>
      <c r="E121" s="165">
        <v>0</v>
      </c>
      <c r="F121" s="165">
        <f>IF('Initial Screens'!$D$29="Yes",0.8,0)</f>
        <v>0</v>
      </c>
      <c r="G121" s="835">
        <f>IF('Initial Screens'!D21&gt;0%,0.7*E136,0)</f>
        <v>0.7</v>
      </c>
      <c r="H121" s="835">
        <f>IF('Initial Screens'!D22&gt;0%,0.73*E137,0)</f>
        <v>0.73</v>
      </c>
      <c r="O121" s="561" t="s">
        <v>288</v>
      </c>
    </row>
    <row r="122" spans="2:16" x14ac:dyDescent="0.3">
      <c r="B122" s="689" t="s">
        <v>595</v>
      </c>
      <c r="C122" s="165">
        <v>0</v>
      </c>
      <c r="D122" s="165">
        <f>IF(AND(C119="VCF",'Initial Screens'!$D$27="Yes"),0.35,0)</f>
        <v>0</v>
      </c>
      <c r="E122" s="165">
        <f>IF('Initial Screens'!$D$28="Yes",0.35,0)</f>
        <v>0</v>
      </c>
      <c r="F122" s="165">
        <v>0</v>
      </c>
      <c r="G122" s="165"/>
      <c r="H122" s="238"/>
      <c r="O122" s="561" t="s">
        <v>463</v>
      </c>
    </row>
    <row r="123" spans="2:16" x14ac:dyDescent="0.3">
      <c r="B123" s="689" t="s">
        <v>596</v>
      </c>
      <c r="C123" s="165">
        <v>0</v>
      </c>
      <c r="D123" s="165">
        <v>0</v>
      </c>
      <c r="E123" s="165">
        <v>0</v>
      </c>
      <c r="F123" s="165">
        <f>IF('Initial Screens'!$D$29="Yes",0.4,0)</f>
        <v>0</v>
      </c>
      <c r="G123" s="165"/>
      <c r="H123" s="833"/>
    </row>
    <row r="124" spans="2:16" x14ac:dyDescent="0.3">
      <c r="B124" s="834" t="s">
        <v>813</v>
      </c>
      <c r="C124" s="836">
        <v>0.35</v>
      </c>
      <c r="D124" s="836"/>
      <c r="E124" s="837"/>
      <c r="F124" s="836">
        <f>IF('Initial Screens'!$D$29="Yes",100%-SUM(C124,G124:H124),0%)</f>
        <v>0</v>
      </c>
      <c r="G124" s="838">
        <v>0.2</v>
      </c>
      <c r="H124" s="838">
        <v>0.1</v>
      </c>
    </row>
    <row r="125" spans="2:16" x14ac:dyDescent="0.3">
      <c r="E125" s="2"/>
      <c r="F125" s="2"/>
      <c r="G125" s="17"/>
      <c r="H125" s="56"/>
    </row>
    <row r="126" spans="2:16" ht="16.2" thickBot="1" x14ac:dyDescent="0.35">
      <c r="B126" s="274" t="s">
        <v>715</v>
      </c>
      <c r="C126" s="284"/>
      <c r="D126" s="284"/>
      <c r="E126" s="2"/>
      <c r="F126" s="816">
        <f>1-SUM(C124,G124:H124)</f>
        <v>0.35</v>
      </c>
      <c r="G126" s="839">
        <f>C121*C124+F121*F124+G121*G124+H121*H124</f>
        <v>0.21299999999999997</v>
      </c>
      <c r="H126" s="56"/>
    </row>
    <row r="127" spans="2:16" ht="16.2" thickTop="1" x14ac:dyDescent="0.3">
      <c r="E127" s="2"/>
      <c r="F127" s="2"/>
      <c r="G127" s="17"/>
      <c r="H127" s="56"/>
    </row>
    <row r="128" spans="2:16" x14ac:dyDescent="0.3">
      <c r="B128" s="692" t="s">
        <v>720</v>
      </c>
      <c r="C128" s="682">
        <f>Compute!F73</f>
        <v>0</v>
      </c>
    </row>
    <row r="129" spans="1:6" x14ac:dyDescent="0.3">
      <c r="B129" s="692" t="s">
        <v>721</v>
      </c>
      <c r="C129" s="683">
        <f>Compute!F14</f>
        <v>0.1</v>
      </c>
    </row>
    <row r="130" spans="1:6" x14ac:dyDescent="0.3">
      <c r="B130" s="692" t="s">
        <v>722</v>
      </c>
      <c r="C130" s="641">
        <f>Compute!F18</f>
        <v>31.46853146853147</v>
      </c>
    </row>
    <row r="131" spans="1:6" x14ac:dyDescent="0.3">
      <c r="B131" s="692" t="s">
        <v>723</v>
      </c>
      <c r="C131" s="684">
        <f>Compute!F81+Compute!F82</f>
        <v>0</v>
      </c>
    </row>
    <row r="134" spans="1:6" x14ac:dyDescent="0.3">
      <c r="A134" s="785"/>
      <c r="B134" s="274" t="s">
        <v>810</v>
      </c>
    </row>
    <row r="135" spans="1:6" x14ac:dyDescent="0.3">
      <c r="A135" s="785"/>
      <c r="B135" s="238" t="str">
        <f>'Initial Screens'!B20</f>
        <v>Component Usage</v>
      </c>
      <c r="C135" s="238" t="str">
        <f>'Initial Screens'!C20</f>
        <v>Current State</v>
      </c>
      <c r="D135" s="238" t="str">
        <f>'Initial Screens'!D20</f>
        <v>Future State</v>
      </c>
      <c r="E135" s="238" t="s">
        <v>811</v>
      </c>
    </row>
    <row r="136" spans="1:6" x14ac:dyDescent="0.3">
      <c r="A136" s="785"/>
      <c r="B136" s="238" t="str">
        <f>'Initial Screens'!B21</f>
        <v>% of Operations coverage</v>
      </c>
      <c r="C136" s="831">
        <f>'Initial Screens'!C21</f>
        <v>0</v>
      </c>
      <c r="D136" s="831">
        <f>'Initial Screens'!D21</f>
        <v>1</v>
      </c>
      <c r="E136" s="832">
        <f>D136-C136</f>
        <v>1</v>
      </c>
    </row>
    <row r="137" spans="1:6" x14ac:dyDescent="0.3">
      <c r="A137" s="785"/>
      <c r="B137" s="238" t="str">
        <f>'Initial Screens'!B22</f>
        <v>% of Automation coverage</v>
      </c>
      <c r="C137" s="831">
        <f>'Initial Screens'!C22</f>
        <v>0</v>
      </c>
      <c r="D137" s="831">
        <f>'Initial Screens'!D22</f>
        <v>1</v>
      </c>
      <c r="E137" s="832">
        <f t="shared" ref="E137:E139" si="7">D137-C137</f>
        <v>1</v>
      </c>
    </row>
    <row r="138" spans="1:6" x14ac:dyDescent="0.3">
      <c r="A138" s="785"/>
      <c r="B138" s="238" t="str">
        <f>'Initial Screens'!B23</f>
        <v>% Of NSX coverage</v>
      </c>
      <c r="C138" s="831">
        <f>'Initial Screens'!C23</f>
        <v>0</v>
      </c>
      <c r="D138" s="831">
        <f>'Initial Screens'!D23</f>
        <v>1</v>
      </c>
      <c r="E138" s="832">
        <f t="shared" si="7"/>
        <v>1</v>
      </c>
    </row>
    <row r="139" spans="1:6" x14ac:dyDescent="0.3">
      <c r="A139" s="785"/>
      <c r="B139" s="238" t="str">
        <f>'Initial Screens'!B24</f>
        <v>% of vSAN Coverage</v>
      </c>
      <c r="C139" s="831">
        <f>'Initial Screens'!C24</f>
        <v>0</v>
      </c>
      <c r="D139" s="831">
        <f>'Initial Screens'!D24</f>
        <v>1</v>
      </c>
      <c r="E139" s="832">
        <f t="shared" si="7"/>
        <v>1</v>
      </c>
    </row>
    <row r="143" spans="1:6" x14ac:dyDescent="0.3">
      <c r="A143" s="785"/>
      <c r="B143" s="274" t="s">
        <v>823</v>
      </c>
    </row>
    <row r="144" spans="1:6" x14ac:dyDescent="0.3">
      <c r="A144" s="785"/>
      <c r="B144" s="238" t="s">
        <v>824</v>
      </c>
      <c r="C144" s="238" t="s">
        <v>825</v>
      </c>
      <c r="D144" s="238" t="s">
        <v>303</v>
      </c>
      <c r="F144" s="94" t="s">
        <v>837</v>
      </c>
    </row>
    <row r="145" spans="1:5" x14ac:dyDescent="0.3">
      <c r="A145" s="785"/>
      <c r="B145" s="238" t="str">
        <f>Labor!B10</f>
        <v>Number of Server Administrators</v>
      </c>
      <c r="C145" s="232">
        <f>Labor!F10</f>
        <v>5</v>
      </c>
      <c r="D145" s="573">
        <f>Labor!F14</f>
        <v>0.48</v>
      </c>
      <c r="E145" s="94">
        <f>C145*(1-D145)</f>
        <v>2.6</v>
      </c>
    </row>
    <row r="146" spans="1:5" x14ac:dyDescent="0.3">
      <c r="A146" s="785"/>
      <c r="B146" s="238" t="str">
        <f>Labor!B19</f>
        <v>Number of storage administrator personnel</v>
      </c>
      <c r="C146" s="232">
        <f>Labor!F19</f>
        <v>5</v>
      </c>
      <c r="D146" s="573">
        <f>Labor!F23</f>
        <v>0.5</v>
      </c>
      <c r="E146" s="94">
        <f t="shared" ref="E146:E156" si="8">C146*(1-D146)</f>
        <v>2.5</v>
      </c>
    </row>
    <row r="147" spans="1:5" x14ac:dyDescent="0.3">
      <c r="A147" s="785"/>
      <c r="B147" s="238" t="str">
        <f>Labor!B28</f>
        <v>Number of network administrator personnel</v>
      </c>
      <c r="C147" s="232">
        <f>Labor!F28</f>
        <v>5</v>
      </c>
      <c r="D147" s="573">
        <f>Labor!F32</f>
        <v>0.48</v>
      </c>
      <c r="E147" s="94">
        <f t="shared" si="8"/>
        <v>2.6</v>
      </c>
    </row>
    <row r="148" spans="1:5" x14ac:dyDescent="0.3">
      <c r="A148" s="785"/>
      <c r="B148" s="238" t="str">
        <f>Labor!B37</f>
        <v>Number of IT service delivery personnel required for provisioning and deploying new VMS</v>
      </c>
      <c r="C148" s="232">
        <f>Labor!F37</f>
        <v>5</v>
      </c>
      <c r="D148" s="573">
        <f>Labor!F41</f>
        <v>0.48</v>
      </c>
      <c r="E148" s="94">
        <f t="shared" si="8"/>
        <v>2.6</v>
      </c>
    </row>
    <row r="149" spans="1:5" x14ac:dyDescent="0.3">
      <c r="A149" s="785"/>
      <c r="B149" s="238" t="str">
        <f>Labor!B46</f>
        <v>Number of Cloud/Enterprise Admin</v>
      </c>
      <c r="C149" s="232">
        <f>Labor!F46</f>
        <v>3</v>
      </c>
      <c r="D149" s="573">
        <f ca="1">(Labor!F51-Labor!F56)/Labor!F51</f>
        <v>0.48617255747357585</v>
      </c>
      <c r="E149" s="94">
        <f t="shared" ca="1" si="8"/>
        <v>1.5414823275792726</v>
      </c>
    </row>
    <row r="150" spans="1:5" x14ac:dyDescent="0.3">
      <c r="A150" s="785"/>
      <c r="B150" s="238" t="str">
        <f>Labor!B60</f>
        <v>Number of IT Personnel managing DBs</v>
      </c>
      <c r="C150" s="232">
        <f>Labor!F60</f>
        <v>0</v>
      </c>
      <c r="D150" s="573">
        <f>Labor!F64</f>
        <v>0.4</v>
      </c>
      <c r="E150" s="94">
        <f t="shared" si="8"/>
        <v>0</v>
      </c>
    </row>
    <row r="151" spans="1:5" x14ac:dyDescent="0.3">
      <c r="A151" s="785"/>
      <c r="B151" s="238" t="str">
        <f>Labor!B69</f>
        <v>Number of Disaster Recovery Administrators</v>
      </c>
      <c r="C151" s="232">
        <f>Labor!F69</f>
        <v>0</v>
      </c>
      <c r="D151" s="573">
        <f>Labor!F73</f>
        <v>0</v>
      </c>
      <c r="E151" s="94">
        <f t="shared" si="8"/>
        <v>0</v>
      </c>
    </row>
    <row r="152" spans="1:5" x14ac:dyDescent="0.3">
      <c r="A152" s="785"/>
      <c r="B152" s="238" t="str">
        <f>Labor!B80</f>
        <v xml:space="preserve">Number of Developers </v>
      </c>
      <c r="C152" s="232">
        <f>Labor!F80</f>
        <v>0</v>
      </c>
      <c r="D152" s="573">
        <f>Labor!F84</f>
        <v>0.06</v>
      </c>
      <c r="E152" s="94">
        <f t="shared" si="8"/>
        <v>0</v>
      </c>
    </row>
    <row r="153" spans="1:5" x14ac:dyDescent="0.3">
      <c r="A153" s="785"/>
      <c r="B153" s="238" t="str">
        <f>Labor!B92</f>
        <v xml:space="preserve">Number of  infrastructure Admins required for resolving  workload infrastructure issues </v>
      </c>
      <c r="C153" s="232">
        <f>Labor!F92</f>
        <v>1.7</v>
      </c>
      <c r="D153" s="573">
        <f ca="1">(Labor!F95-Labor!F99)/Labor!F95</f>
        <v>0.20731707317073161</v>
      </c>
      <c r="E153" s="94">
        <f t="shared" ca="1" si="8"/>
        <v>1.3475609756097562</v>
      </c>
    </row>
    <row r="154" spans="1:5" x14ac:dyDescent="0.3">
      <c r="A154" s="785"/>
      <c r="B154" s="238" t="str">
        <f>Labor!B103</f>
        <v>Service Request (SR) Time Reduction</v>
      </c>
      <c r="C154" s="232">
        <f>(Labor!F106*Labor!F107*Labor!F108)/2080</f>
        <v>0.54720000000000002</v>
      </c>
      <c r="D154" s="573">
        <f ca="1">(Labor!F110-Labor!F113)/Labor!F110</f>
        <v>0.59999819774357499</v>
      </c>
      <c r="E154" s="94">
        <f t="shared" ca="1" si="8"/>
        <v>0.21888098619471577</v>
      </c>
    </row>
    <row r="155" spans="1:5" x14ac:dyDescent="0.3">
      <c r="A155" s="785"/>
      <c r="B155" s="238" t="str">
        <f>Labor!B119</f>
        <v>Number of FTEs</v>
      </c>
      <c r="C155" s="232">
        <f>Labor!F119</f>
        <v>0</v>
      </c>
      <c r="D155" s="573">
        <f>Labor!F123</f>
        <v>0</v>
      </c>
      <c r="E155" s="94">
        <f t="shared" si="8"/>
        <v>0</v>
      </c>
    </row>
    <row r="156" spans="1:5" x14ac:dyDescent="0.3">
      <c r="A156" s="785"/>
      <c r="B156" s="238" t="s">
        <v>838</v>
      </c>
      <c r="C156" s="238">
        <f>SUM(C145:C155)</f>
        <v>25.247199999999999</v>
      </c>
      <c r="D156" s="238"/>
      <c r="E156" s="94">
        <f ca="1">SUM(E145:E155)</f>
        <v>13.407924289383743</v>
      </c>
    </row>
    <row r="157" spans="1:5" x14ac:dyDescent="0.3">
      <c r="A157" s="785"/>
      <c r="B157" s="238" t="s">
        <v>836</v>
      </c>
      <c r="C157" s="238"/>
      <c r="D157" s="238">
        <f ca="1">SUMPRODUCT(C145:C155,D145:D155)</f>
        <v>11.839275710616256</v>
      </c>
    </row>
    <row r="158" spans="1:5" x14ac:dyDescent="0.3">
      <c r="A158" s="785"/>
      <c r="B158" s="238" t="s">
        <v>837</v>
      </c>
      <c r="C158" s="238"/>
      <c r="D158" s="238">
        <f ca="1">C156-D157</f>
        <v>13.407924289383743</v>
      </c>
      <c r="E158" s="94">
        <f ca="1">D158/C156</f>
        <v>0.53106579301402701</v>
      </c>
    </row>
    <row r="159" spans="1:5" x14ac:dyDescent="0.3">
      <c r="C159" s="94">
        <f>C156*2080</f>
        <v>52514.175999999999</v>
      </c>
      <c r="E159" s="94">
        <f ca="1">E156*2080</f>
        <v>27888.482521918188</v>
      </c>
    </row>
    <row r="160" spans="1:5" x14ac:dyDescent="0.3">
      <c r="C160" s="94">
        <f ca="1">C159-E159</f>
        <v>24625.693478081812</v>
      </c>
    </row>
    <row r="161" spans="3:4" x14ac:dyDescent="0.3">
      <c r="C161" s="94">
        <f ca="1">C160/C159</f>
        <v>0.46893420698597293</v>
      </c>
      <c r="D161" s="94">
        <f ca="1">C156-E156</f>
        <v>11.839275710616256</v>
      </c>
    </row>
    <row r="162" spans="3:4" x14ac:dyDescent="0.3">
      <c r="D162" s="94">
        <f ca="1">D161*2080</f>
        <v>24625.693478081812</v>
      </c>
    </row>
  </sheetData>
  <mergeCells count="37">
    <mergeCell ref="B52:D52"/>
    <mergeCell ref="B57:D57"/>
    <mergeCell ref="B58:D58"/>
    <mergeCell ref="B59:D59"/>
    <mergeCell ref="B65:D65"/>
    <mergeCell ref="B60:D60"/>
    <mergeCell ref="B61:D61"/>
    <mergeCell ref="B62:D62"/>
    <mergeCell ref="B63:D63"/>
    <mergeCell ref="B64:D64"/>
    <mergeCell ref="C14:D14"/>
    <mergeCell ref="B49:D49"/>
    <mergeCell ref="B50:D50"/>
    <mergeCell ref="B51:D51"/>
    <mergeCell ref="B44:D44"/>
    <mergeCell ref="B45:D45"/>
    <mergeCell ref="B46:D46"/>
    <mergeCell ref="B47:D47"/>
    <mergeCell ref="B48:D48"/>
    <mergeCell ref="B19:D19"/>
    <mergeCell ref="B20:D20"/>
    <mergeCell ref="B21:D21"/>
    <mergeCell ref="B22:D22"/>
    <mergeCell ref="B23:D23"/>
    <mergeCell ref="B24:D24"/>
    <mergeCell ref="B25:D25"/>
    <mergeCell ref="B26:D26"/>
    <mergeCell ref="B27:D27"/>
    <mergeCell ref="B32:D32"/>
    <mergeCell ref="B33:D33"/>
    <mergeCell ref="B34:D34"/>
    <mergeCell ref="B40:D40"/>
    <mergeCell ref="B35:D35"/>
    <mergeCell ref="B36:D36"/>
    <mergeCell ref="B37:D37"/>
    <mergeCell ref="B38:D38"/>
    <mergeCell ref="B39:D39"/>
  </mergeCells>
  <conditionalFormatting sqref="P19:U27">
    <cfRule type="cellIs" dxfId="13" priority="12" operator="equal">
      <formula>FALSE</formula>
    </cfRule>
  </conditionalFormatting>
  <conditionalFormatting sqref="P44:U52">
    <cfRule type="cellIs" dxfId="12" priority="11" operator="equal">
      <formula>FALSE</formula>
    </cfRule>
  </conditionalFormatting>
  <conditionalFormatting sqref="V19:V27">
    <cfRule type="cellIs" dxfId="11" priority="10" operator="equal">
      <formula>FALSE</formula>
    </cfRule>
  </conditionalFormatting>
  <conditionalFormatting sqref="W19:W27">
    <cfRule type="cellIs" dxfId="10" priority="9" operator="equal">
      <formula>FALSE</formula>
    </cfRule>
  </conditionalFormatting>
  <conditionalFormatting sqref="X19:X27">
    <cfRule type="cellIs" dxfId="9" priority="8" operator="equal">
      <formula>FALSE</formula>
    </cfRule>
  </conditionalFormatting>
  <conditionalFormatting sqref="Y19:Y27">
    <cfRule type="cellIs" dxfId="8" priority="7" operator="equal">
      <formula>FALSE</formula>
    </cfRule>
  </conditionalFormatting>
  <conditionalFormatting sqref="Z19:Z27">
    <cfRule type="cellIs" dxfId="7" priority="6" operator="equal">
      <formula>FALSE</formula>
    </cfRule>
  </conditionalFormatting>
  <conditionalFormatting sqref="V44:V52">
    <cfRule type="cellIs" dxfId="6" priority="5" operator="equal">
      <formula>FALSE</formula>
    </cfRule>
  </conditionalFormatting>
  <conditionalFormatting sqref="W44:W52">
    <cfRule type="cellIs" dxfId="5" priority="4" operator="equal">
      <formula>FALSE</formula>
    </cfRule>
  </conditionalFormatting>
  <conditionalFormatting sqref="X44:X52">
    <cfRule type="cellIs" dxfId="4" priority="3" operator="equal">
      <formula>FALSE</formula>
    </cfRule>
  </conditionalFormatting>
  <conditionalFormatting sqref="Y44:Y52">
    <cfRule type="cellIs" dxfId="3" priority="2" operator="equal">
      <formula>FALSE</formula>
    </cfRule>
  </conditionalFormatting>
  <conditionalFormatting sqref="Z44:Z52">
    <cfRule type="cellIs" dxfId="2" priority="1" operator="equal">
      <formula>FALSE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2799-8ED4-4A95-9E5A-FA79A2EB6FF6}">
  <sheetPr codeName="Sheet12">
    <tabColor rgb="FFFF66FF"/>
  </sheetPr>
  <dimension ref="A1:V146"/>
  <sheetViews>
    <sheetView showGridLines="0" topLeftCell="A49" zoomScale="70" zoomScaleNormal="70" workbookViewId="0">
      <selection activeCell="G58" sqref="G58"/>
    </sheetView>
  </sheetViews>
  <sheetFormatPr defaultColWidth="16.44140625" defaultRowHeight="14.4" x14ac:dyDescent="0.3"/>
  <cols>
    <col min="1" max="1" width="9.21875" style="333" customWidth="1"/>
    <col min="2" max="2" width="42.21875" style="2" customWidth="1"/>
    <col min="3" max="5" width="18.77734375" style="2" customWidth="1"/>
    <col min="6" max="6" width="22" style="16" customWidth="1"/>
    <col min="7" max="7" width="17.21875" style="79" customWidth="1"/>
    <col min="8" max="8" width="155.21875" style="17" bestFit="1" customWidth="1"/>
    <col min="9" max="9" width="15.44140625" style="2" customWidth="1"/>
    <col min="10" max="10" width="41.77734375" style="2" customWidth="1"/>
    <col min="11" max="14" width="20.77734375" style="2" customWidth="1"/>
    <col min="15" max="17" width="20.77734375" style="16" customWidth="1"/>
    <col min="18" max="18" width="16.77734375" style="13" customWidth="1"/>
    <col min="19" max="19" width="16.77734375" style="17" customWidth="1"/>
    <col min="20" max="21" width="16.44140625" style="2"/>
    <col min="22" max="22" width="16.44140625" style="2" hidden="1" customWidth="1"/>
    <col min="23" max="16384" width="16.44140625" style="2"/>
  </cols>
  <sheetData>
    <row r="1" spans="1:19" ht="15" thickBot="1" x14ac:dyDescent="0.35">
      <c r="B1" s="4"/>
      <c r="C1" s="4"/>
      <c r="F1" s="1"/>
      <c r="G1"/>
      <c r="H1" s="71"/>
      <c r="J1" s="4"/>
      <c r="K1" s="4"/>
      <c r="L1" s="4"/>
      <c r="O1" s="1"/>
      <c r="Q1" s="1"/>
      <c r="R1"/>
    </row>
    <row r="2" spans="1:19" ht="20.25" customHeight="1" thickBot="1" x14ac:dyDescent="0.35">
      <c r="B2" s="343" t="s">
        <v>369</v>
      </c>
      <c r="C2" s="344"/>
      <c r="D2" s="344"/>
      <c r="E2" s="344"/>
      <c r="F2" s="345"/>
      <c r="G2" s="466" t="s">
        <v>473</v>
      </c>
      <c r="H2" s="45"/>
      <c r="R2" s="3"/>
      <c r="S2" s="355"/>
    </row>
    <row r="3" spans="1:19" ht="16.2" thickBot="1" x14ac:dyDescent="0.35">
      <c r="B3" s="154"/>
      <c r="C3" s="154"/>
      <c r="D3" s="154"/>
      <c r="E3" s="154"/>
      <c r="F3" s="333" t="s">
        <v>464</v>
      </c>
      <c r="G3" s="154"/>
      <c r="H3" s="356"/>
      <c r="R3" s="3"/>
      <c r="S3" s="355"/>
    </row>
    <row r="4" spans="1:19" ht="16.2" thickBot="1" x14ac:dyDescent="0.35">
      <c r="B4" s="387" t="str">
        <f>IF('Initial Screens'!C8="Government and Non-Profit","Annual operating budget","Annual revenue")</f>
        <v>Annual revenue</v>
      </c>
      <c r="C4" s="388"/>
      <c r="D4" s="388"/>
      <c r="E4" s="388"/>
      <c r="F4" s="283">
        <v>1000000000</v>
      </c>
      <c r="G4" s="56"/>
      <c r="H4" s="399" t="s">
        <v>511</v>
      </c>
      <c r="S4" s="2"/>
    </row>
    <row r="5" spans="1:19" ht="16.2" thickBot="1" x14ac:dyDescent="0.35">
      <c r="A5" s="333" t="str">
        <f>IF('Initial Screens'!C8="Government","Hide","Show")</f>
        <v>Show</v>
      </c>
      <c r="B5" s="7" t="s">
        <v>357</v>
      </c>
      <c r="C5" s="391"/>
      <c r="D5" s="16"/>
      <c r="F5" s="389">
        <v>0.1</v>
      </c>
      <c r="G5" s="56"/>
      <c r="H5" s="399" t="s">
        <v>511</v>
      </c>
      <c r="Q5" s="2"/>
      <c r="R5" s="2"/>
      <c r="S5" s="2"/>
    </row>
    <row r="6" spans="1:19" ht="16.2" thickBot="1" x14ac:dyDescent="0.35">
      <c r="B6" s="14" t="s">
        <v>358</v>
      </c>
      <c r="C6" s="392"/>
      <c r="D6" s="393"/>
      <c r="E6" s="394"/>
      <c r="F6" s="390">
        <v>2500</v>
      </c>
      <c r="G6" s="56"/>
      <c r="H6" s="399" t="s">
        <v>511</v>
      </c>
      <c r="Q6" s="2"/>
      <c r="R6" s="2"/>
      <c r="S6" s="2"/>
    </row>
    <row r="7" spans="1:19" ht="15" thickBot="1" x14ac:dyDescent="0.35">
      <c r="F7"/>
      <c r="G7" s="56"/>
      <c r="H7" s="2"/>
      <c r="Q7" s="2"/>
      <c r="R7" s="2"/>
      <c r="S7" s="2"/>
    </row>
    <row r="8" spans="1:19" ht="16.2" thickBot="1" x14ac:dyDescent="0.35">
      <c r="B8" s="395" t="s">
        <v>237</v>
      </c>
      <c r="C8" s="396"/>
      <c r="D8" s="396"/>
      <c r="E8" s="397"/>
      <c r="F8" s="398">
        <f ca="1">ROUND(Benchmarks!$D$10,2)</f>
        <v>97.5</v>
      </c>
      <c r="G8"/>
      <c r="H8" s="386" t="str">
        <f ca="1">"Skillsoft 2024 IT Skills and Salary Report Benchmark for "&amp;'Initial Screens'!$C$9&amp;" "&amp;'Initial Screens'!$C$8&amp;" + conservative "&amp;FIXED(Benchmarks!$D$45*100,1)&amp;"% burden rate per"</f>
        <v>Skillsoft 2024 IT Skills and Salary Report Benchmark for AMER Financial Services + conservative 45.0% burden rate per</v>
      </c>
      <c r="Q8" s="2"/>
      <c r="R8" s="2"/>
      <c r="S8" s="2"/>
    </row>
    <row r="9" spans="1:19" ht="20.25" customHeight="1" collapsed="1" x14ac:dyDescent="0.3">
      <c r="A9" s="154"/>
      <c r="C9" s="552" t="s">
        <v>601</v>
      </c>
      <c r="D9" s="552" t="s">
        <v>602</v>
      </c>
      <c r="F9" s="2"/>
      <c r="G9" s="2"/>
      <c r="H9" s="2"/>
      <c r="Q9" s="2"/>
      <c r="R9" s="2"/>
      <c r="S9" s="2"/>
    </row>
    <row r="10" spans="1:19" ht="15.6" x14ac:dyDescent="0.3">
      <c r="A10" s="726" t="str">
        <f>IF('Initial Screens'!$C$8="Government","Show","hide")</f>
        <v>hide</v>
      </c>
      <c r="B10" s="95" t="s">
        <v>420</v>
      </c>
      <c r="C10" s="554"/>
      <c r="D10" s="553" t="str">
        <f>IF('Initial Screens'!$C$8="Government","No",IF(C10="","No",C10))</f>
        <v>No</v>
      </c>
      <c r="F10"/>
      <c r="G10" s="56"/>
      <c r="H10" s="56" t="s">
        <v>422</v>
      </c>
      <c r="Q10" s="2"/>
      <c r="R10" s="2"/>
      <c r="S10" s="2"/>
    </row>
    <row r="11" spans="1:19" ht="15" thickBot="1" x14ac:dyDescent="0.35">
      <c r="F11"/>
      <c r="G11" s="56"/>
      <c r="H11" s="2"/>
      <c r="Q11" s="2"/>
      <c r="R11" s="2"/>
      <c r="S11" s="2"/>
    </row>
    <row r="12" spans="1:19" ht="20.25" customHeight="1" thickBot="1" x14ac:dyDescent="0.35">
      <c r="A12" s="853" t="str">
        <f>IF(AND($A$10="Show",$D$10="Yes"),"Show","Hide")</f>
        <v>Hide</v>
      </c>
      <c r="B12" s="343" t="s">
        <v>409</v>
      </c>
      <c r="C12" s="344"/>
      <c r="D12" s="344"/>
      <c r="E12" s="344"/>
      <c r="F12" s="345"/>
      <c r="G12" s="354"/>
      <c r="H12" s="45"/>
      <c r="O12" s="2"/>
      <c r="P12" s="2"/>
      <c r="Q12" s="2"/>
      <c r="R12" s="2"/>
      <c r="S12" s="2"/>
    </row>
    <row r="13" spans="1:19" ht="15" thickBot="1" x14ac:dyDescent="0.35">
      <c r="A13" s="853"/>
      <c r="B13" s="154"/>
      <c r="C13" s="154"/>
      <c r="D13" s="154"/>
      <c r="E13" s="154"/>
      <c r="F13" s="154"/>
      <c r="G13" s="154"/>
      <c r="H13" s="154"/>
      <c r="O13" s="2"/>
      <c r="P13" s="2"/>
      <c r="Q13" s="2"/>
      <c r="R13" s="2"/>
      <c r="S13" s="2"/>
    </row>
    <row r="14" spans="1:19" ht="20.25" customHeight="1" thickBot="1" x14ac:dyDescent="0.35">
      <c r="A14" s="853" t="str">
        <f>$A$12</f>
        <v>Hide</v>
      </c>
      <c r="B14" s="5"/>
      <c r="C14" s="6"/>
      <c r="D14" s="6"/>
      <c r="E14" s="6"/>
      <c r="F14" s="337"/>
      <c r="G14" s="357"/>
      <c r="H14" s="358" t="s">
        <v>2</v>
      </c>
      <c r="O14" s="2"/>
      <c r="P14" s="2"/>
      <c r="Q14" s="2"/>
      <c r="R14" s="2"/>
      <c r="S14" s="2"/>
    </row>
    <row r="15" spans="1:19" ht="20.25" customHeight="1" thickBot="1" x14ac:dyDescent="0.35">
      <c r="A15" s="853" t="str">
        <f t="shared" ref="A15:A19" si="0">$A$12</f>
        <v>Hide</v>
      </c>
      <c r="B15" s="7" t="s">
        <v>410</v>
      </c>
      <c r="C15" s="50"/>
      <c r="D15" s="50"/>
      <c r="E15" s="8"/>
      <c r="F15" s="361">
        <f>F4</f>
        <v>1000000000</v>
      </c>
      <c r="G15" s="423"/>
      <c r="H15" s="505" t="str">
        <f>$H$4</f>
        <v>From 10-k</v>
      </c>
      <c r="O15" s="2"/>
      <c r="P15" s="2"/>
      <c r="Q15" s="2"/>
      <c r="R15" s="2"/>
      <c r="S15" s="2"/>
    </row>
    <row r="16" spans="1:19" ht="20.25" customHeight="1" thickBot="1" x14ac:dyDescent="0.35">
      <c r="A16" s="853" t="str">
        <f t="shared" si="0"/>
        <v>Hide</v>
      </c>
      <c r="B16" s="7" t="s">
        <v>411</v>
      </c>
      <c r="C16" s="50"/>
      <c r="D16" s="50"/>
      <c r="E16" s="8"/>
      <c r="F16" s="377">
        <f>IF(D10="Yes",0.5%,0)</f>
        <v>0</v>
      </c>
      <c r="G16" s="726"/>
      <c r="H16" s="363" t="s">
        <v>6</v>
      </c>
      <c r="O16" s="2"/>
      <c r="P16" s="2"/>
      <c r="Q16" s="2"/>
      <c r="R16" s="2"/>
      <c r="S16" s="2"/>
    </row>
    <row r="17" spans="1:19" ht="16.2" thickBot="1" x14ac:dyDescent="0.35">
      <c r="A17" s="853" t="str">
        <f t="shared" si="0"/>
        <v>Hide</v>
      </c>
      <c r="B17" s="7" t="s">
        <v>412</v>
      </c>
      <c r="C17" s="50"/>
      <c r="D17" s="50"/>
      <c r="E17" s="8"/>
      <c r="F17" s="424">
        <f t="shared" ref="F17" si="1">ROUND(F15*F16,0)</f>
        <v>0</v>
      </c>
      <c r="G17" s="359"/>
      <c r="H17" s="505" t="s">
        <v>8</v>
      </c>
      <c r="O17" s="2"/>
      <c r="P17" s="2"/>
      <c r="Q17" s="2"/>
      <c r="R17" s="2"/>
      <c r="S17" s="2"/>
    </row>
    <row r="18" spans="1:19" ht="20.25" customHeight="1" thickBot="1" x14ac:dyDescent="0.35">
      <c r="A18" s="853" t="str">
        <f t="shared" si="0"/>
        <v>Hide</v>
      </c>
      <c r="B18" s="7" t="s">
        <v>357</v>
      </c>
      <c r="C18" s="67"/>
      <c r="D18" s="67"/>
      <c r="E18" s="8"/>
      <c r="F18" s="371">
        <f>F5</f>
        <v>0.1</v>
      </c>
      <c r="G18" s="359"/>
      <c r="H18" s="505" t="str">
        <f>$H$5</f>
        <v>From 10-k</v>
      </c>
      <c r="O18" s="2"/>
      <c r="P18" s="2"/>
      <c r="Q18" s="2"/>
      <c r="R18" s="2"/>
      <c r="S18" s="2"/>
    </row>
    <row r="19" spans="1:19" ht="20.25" customHeight="1" thickBot="1" x14ac:dyDescent="0.35">
      <c r="A19" s="853" t="str">
        <f t="shared" si="0"/>
        <v>Hide</v>
      </c>
      <c r="B19" s="431" t="s">
        <v>351</v>
      </c>
      <c r="C19" s="429"/>
      <c r="D19" s="429"/>
      <c r="E19" s="368"/>
      <c r="F19" s="369">
        <f>ROUND(F17*F18,0)</f>
        <v>0</v>
      </c>
      <c r="G19" s="148"/>
      <c r="H19" s="505" t="s">
        <v>8</v>
      </c>
      <c r="I19"/>
      <c r="M19" s="16"/>
      <c r="N19" s="16"/>
      <c r="O19" s="2"/>
      <c r="P19" s="2"/>
      <c r="Q19" s="2"/>
      <c r="R19" s="2"/>
      <c r="S19" s="2"/>
    </row>
    <row r="20" spans="1:19" ht="20.25" customHeight="1" collapsed="1" x14ac:dyDescent="0.3">
      <c r="A20" s="154"/>
      <c r="G20" s="2"/>
      <c r="H20" s="355"/>
      <c r="M20" s="16"/>
      <c r="N20" s="16"/>
      <c r="O20" s="2"/>
      <c r="P20" s="2"/>
      <c r="Q20" s="2"/>
      <c r="R20" s="2"/>
      <c r="S20" s="2"/>
    </row>
    <row r="21" spans="1:19" ht="15.6" x14ac:dyDescent="0.3">
      <c r="A21" s="853" t="str">
        <f>IF('Initial Screens'!$C$8="Government","Show","hide")</f>
        <v>hide</v>
      </c>
      <c r="B21" s="95" t="s">
        <v>421</v>
      </c>
      <c r="C21" s="554"/>
      <c r="D21" s="553" t="str">
        <f>IF('Initial Screens'!$C$8="Government","No",IF(C21="","No",C21))</f>
        <v>No</v>
      </c>
      <c r="F21"/>
      <c r="G21" s="56"/>
      <c r="H21" s="56" t="s">
        <v>422</v>
      </c>
      <c r="O21" s="13"/>
      <c r="Q21" s="17"/>
      <c r="R21" s="56"/>
      <c r="S21" s="2"/>
    </row>
    <row r="22" spans="1:19" ht="15" thickBot="1" x14ac:dyDescent="0.35">
      <c r="A22" s="853"/>
      <c r="F22"/>
      <c r="G22" s="56"/>
      <c r="H22" s="2"/>
      <c r="O22" s="13"/>
      <c r="Q22" s="17"/>
      <c r="R22" s="56"/>
      <c r="S22" s="2"/>
    </row>
    <row r="23" spans="1:19" ht="20.25" customHeight="1" thickBot="1" x14ac:dyDescent="0.35">
      <c r="A23" s="853" t="str">
        <f>IF(AND($A$21="Show",$D$21="Yes"),"Show","Hide")</f>
        <v>Hide</v>
      </c>
      <c r="B23" s="343" t="s">
        <v>413</v>
      </c>
      <c r="C23" s="344"/>
      <c r="D23" s="344"/>
      <c r="E23" s="344"/>
      <c r="F23" s="345"/>
      <c r="G23" s="425"/>
      <c r="O23" s="2"/>
      <c r="P23" s="2"/>
      <c r="Q23" s="2"/>
      <c r="R23" s="2"/>
      <c r="S23" s="2"/>
    </row>
    <row r="24" spans="1:19" ht="15" thickBot="1" x14ac:dyDescent="0.35">
      <c r="A24" s="853" t="str">
        <f>$A$23</f>
        <v>Hide</v>
      </c>
      <c r="B24" s="154"/>
      <c r="C24" s="154"/>
      <c r="D24" s="154"/>
      <c r="E24" s="154"/>
      <c r="F24" s="154"/>
      <c r="G24" s="154"/>
      <c r="H24" s="154"/>
      <c r="I24" s="154"/>
      <c r="O24" s="2"/>
      <c r="P24" s="2"/>
      <c r="Q24" s="2"/>
      <c r="R24" s="2"/>
      <c r="S24" s="2"/>
    </row>
    <row r="25" spans="1:19" ht="20.25" customHeight="1" thickBot="1" x14ac:dyDescent="0.35">
      <c r="A25" s="853" t="str">
        <f t="shared" ref="A25:A34" si="2">$A$23</f>
        <v>Hide</v>
      </c>
      <c r="B25" s="432"/>
      <c r="C25" s="433"/>
      <c r="D25" s="433"/>
      <c r="E25" s="434"/>
      <c r="F25" s="337"/>
      <c r="G25" s="425"/>
      <c r="H25" s="358" t="s">
        <v>2</v>
      </c>
      <c r="O25" s="2"/>
      <c r="P25" s="2"/>
      <c r="Q25" s="2"/>
      <c r="R25" s="2"/>
      <c r="S25" s="2"/>
    </row>
    <row r="26" spans="1:19" ht="20.25" customHeight="1" thickBot="1" x14ac:dyDescent="0.35">
      <c r="A26" s="853" t="str">
        <f t="shared" si="2"/>
        <v>Hide</v>
      </c>
      <c r="B26" s="7" t="s">
        <v>410</v>
      </c>
      <c r="E26" s="435"/>
      <c r="F26" s="361">
        <f>F4</f>
        <v>1000000000</v>
      </c>
      <c r="G26" s="425"/>
      <c r="H26" s="505" t="str">
        <f>$H$4</f>
        <v>From 10-k</v>
      </c>
      <c r="K26" s="66"/>
      <c r="O26" s="2"/>
      <c r="P26" s="2"/>
      <c r="Q26" s="2"/>
      <c r="R26" s="2"/>
      <c r="S26" s="2"/>
    </row>
    <row r="27" spans="1:19" ht="20.25" customHeight="1" thickBot="1" x14ac:dyDescent="0.35">
      <c r="A27" s="853" t="str">
        <f t="shared" si="2"/>
        <v>Hide</v>
      </c>
      <c r="B27" s="7" t="s">
        <v>414</v>
      </c>
      <c r="E27" s="435"/>
      <c r="F27" s="186">
        <f>ROUND(5%,3)</f>
        <v>0.05</v>
      </c>
      <c r="G27" s="426"/>
      <c r="H27" s="365" t="s">
        <v>66</v>
      </c>
      <c r="K27" s="66"/>
      <c r="O27" s="2"/>
      <c r="P27" s="2"/>
      <c r="Q27" s="2"/>
      <c r="R27" s="2"/>
      <c r="S27" s="2"/>
    </row>
    <row r="28" spans="1:19" ht="20.25" customHeight="1" thickBot="1" x14ac:dyDescent="0.35">
      <c r="A28" s="853" t="str">
        <f t="shared" si="2"/>
        <v>Hide</v>
      </c>
      <c r="B28" s="7" t="s">
        <v>415</v>
      </c>
      <c r="C28" s="50"/>
      <c r="D28" s="50"/>
      <c r="E28" s="8"/>
      <c r="F28" s="427">
        <f t="shared" ref="F28" si="3">ROUND(F26*F27,0)</f>
        <v>50000000</v>
      </c>
      <c r="G28" s="425"/>
      <c r="H28" s="505" t="s">
        <v>8</v>
      </c>
      <c r="K28" s="816"/>
      <c r="O28" s="2"/>
      <c r="P28" s="2"/>
      <c r="Q28" s="2"/>
      <c r="R28" s="2"/>
      <c r="S28" s="2"/>
    </row>
    <row r="29" spans="1:19" ht="20.25" customHeight="1" thickBot="1" x14ac:dyDescent="0.35">
      <c r="A29" s="853" t="str">
        <f t="shared" si="2"/>
        <v>Hide</v>
      </c>
      <c r="B29" s="7" t="s">
        <v>416</v>
      </c>
      <c r="C29" s="430"/>
      <c r="E29" s="8"/>
      <c r="F29" s="186">
        <f>ROUND(10%,3)</f>
        <v>0.1</v>
      </c>
      <c r="G29" s="426"/>
      <c r="H29" s="363" t="s">
        <v>6</v>
      </c>
      <c r="K29" s="816"/>
      <c r="O29" s="2"/>
      <c r="P29" s="2"/>
      <c r="Q29" s="2"/>
      <c r="R29" s="2"/>
      <c r="S29" s="2"/>
    </row>
    <row r="30" spans="1:19" ht="20.25" customHeight="1" thickBot="1" x14ac:dyDescent="0.35">
      <c r="A30" s="853" t="str">
        <f t="shared" si="2"/>
        <v>Hide</v>
      </c>
      <c r="B30" s="7" t="s">
        <v>417</v>
      </c>
      <c r="C30" s="67"/>
      <c r="E30" s="8"/>
      <c r="F30" s="427">
        <f t="shared" ref="F30:F32" si="4">ROUND(F28*F29,0)</f>
        <v>5000000</v>
      </c>
      <c r="G30" s="426"/>
      <c r="H30" s="505" t="s">
        <v>8</v>
      </c>
      <c r="O30" s="2"/>
      <c r="P30" s="2"/>
      <c r="Q30" s="2"/>
      <c r="R30" s="2"/>
      <c r="S30" s="2"/>
    </row>
    <row r="31" spans="1:19" ht="20.25" customHeight="1" thickBot="1" x14ac:dyDescent="0.35">
      <c r="A31" s="853" t="str">
        <f t="shared" si="2"/>
        <v>Hide</v>
      </c>
      <c r="B31" s="7" t="s">
        <v>418</v>
      </c>
      <c r="C31" s="50"/>
      <c r="D31" s="50"/>
      <c r="E31" s="8"/>
      <c r="F31" s="428">
        <f>ROUND(IF(D21="Yes",75%,0),3)</f>
        <v>0</v>
      </c>
      <c r="G31" s="726"/>
      <c r="H31" s="363" t="s">
        <v>6</v>
      </c>
      <c r="O31" s="2"/>
      <c r="P31" s="2"/>
      <c r="Q31" s="2"/>
      <c r="R31" s="2"/>
      <c r="S31" s="2"/>
    </row>
    <row r="32" spans="1:19" ht="20.25" customHeight="1" thickBot="1" x14ac:dyDescent="0.35">
      <c r="A32" s="853" t="str">
        <f t="shared" si="2"/>
        <v>Hide</v>
      </c>
      <c r="B32" s="7" t="s">
        <v>419</v>
      </c>
      <c r="E32" s="435"/>
      <c r="F32" s="427">
        <f t="shared" si="4"/>
        <v>0</v>
      </c>
      <c r="G32" s="425"/>
      <c r="H32" s="505" t="s">
        <v>8</v>
      </c>
      <c r="O32" s="2"/>
      <c r="P32" s="2"/>
      <c r="Q32" s="2"/>
      <c r="R32" s="2"/>
      <c r="S32" s="2"/>
    </row>
    <row r="33" spans="1:19" ht="20.25" customHeight="1" thickBot="1" x14ac:dyDescent="0.35">
      <c r="A33" s="853" t="str">
        <f t="shared" si="2"/>
        <v>Hide</v>
      </c>
      <c r="B33" s="14" t="s">
        <v>357</v>
      </c>
      <c r="C33" s="51"/>
      <c r="D33" s="51"/>
      <c r="E33" s="15"/>
      <c r="F33" s="371">
        <f>F5</f>
        <v>0.1</v>
      </c>
      <c r="G33" s="425"/>
      <c r="H33" s="505" t="str">
        <f>$H$5</f>
        <v>From 10-k</v>
      </c>
      <c r="M33" s="16"/>
      <c r="N33" s="16"/>
      <c r="O33" s="2"/>
      <c r="P33" s="2"/>
      <c r="Q33" s="2"/>
      <c r="R33" s="2"/>
      <c r="S33" s="2"/>
    </row>
    <row r="34" spans="1:19" ht="20.25" customHeight="1" thickBot="1" x14ac:dyDescent="0.35">
      <c r="A34" s="853" t="str">
        <f t="shared" si="2"/>
        <v>Hide</v>
      </c>
      <c r="B34" s="366" t="s">
        <v>351</v>
      </c>
      <c r="C34" s="367"/>
      <c r="D34" s="367"/>
      <c r="E34" s="368"/>
      <c r="F34" s="369">
        <f>ROUND(F32*F33,0)</f>
        <v>0</v>
      </c>
      <c r="G34" s="425"/>
      <c r="H34" s="505" t="s">
        <v>8</v>
      </c>
      <c r="K34" s="817"/>
      <c r="M34" s="16"/>
      <c r="N34" s="16"/>
      <c r="O34" s="2"/>
      <c r="P34" s="2"/>
      <c r="Q34" s="2"/>
      <c r="R34" s="2"/>
      <c r="S34" s="2"/>
    </row>
    <row r="35" spans="1:19" x14ac:dyDescent="0.3">
      <c r="F35"/>
      <c r="G35" s="56"/>
      <c r="H35" s="2"/>
      <c r="M35" s="16"/>
      <c r="N35" s="16"/>
      <c r="O35" s="13"/>
      <c r="Q35" s="17"/>
      <c r="R35" s="56"/>
      <c r="S35" s="2"/>
    </row>
    <row r="36" spans="1:19" ht="15.6" x14ac:dyDescent="0.3">
      <c r="A36" s="726"/>
      <c r="B36" s="95" t="s">
        <v>356</v>
      </c>
      <c r="C36" s="554" t="s">
        <v>463</v>
      </c>
      <c r="D36" s="553" t="str">
        <f>IF(C36="",IF(SUM(Misc!$C$121:$FM$121)&gt;0,"Yes","No"),C36)</f>
        <v>No</v>
      </c>
      <c r="F36"/>
      <c r="G36" s="466" t="s">
        <v>473</v>
      </c>
      <c r="H36" s="56" t="s">
        <v>506</v>
      </c>
      <c r="O36" s="13"/>
      <c r="Q36" s="17"/>
      <c r="R36" s="56"/>
      <c r="S36" s="2"/>
    </row>
    <row r="37" spans="1:19" ht="15" thickBot="1" x14ac:dyDescent="0.35">
      <c r="F37"/>
      <c r="G37" s="56"/>
      <c r="H37" s="2"/>
      <c r="O37" s="13"/>
      <c r="Q37" s="17"/>
      <c r="R37" s="56"/>
      <c r="S37" s="2"/>
    </row>
    <row r="38" spans="1:19" ht="20.25" customHeight="1" thickBot="1" x14ac:dyDescent="0.35">
      <c r="B38" s="343" t="s">
        <v>346</v>
      </c>
      <c r="C38" s="344"/>
      <c r="D38" s="344"/>
      <c r="E38" s="344"/>
      <c r="F38" s="345"/>
      <c r="G38" s="354"/>
      <c r="H38" s="45" t="s">
        <v>791</v>
      </c>
      <c r="J38" s="822"/>
      <c r="R38" s="3"/>
      <c r="S38" s="355"/>
    </row>
    <row r="39" spans="1:19" ht="16.2" thickBot="1" x14ac:dyDescent="0.35">
      <c r="B39" s="154"/>
      <c r="C39" s="154"/>
      <c r="D39" s="154"/>
      <c r="E39" s="154"/>
      <c r="F39" s="154"/>
      <c r="G39" s="154"/>
      <c r="H39" s="356"/>
      <c r="R39" s="3"/>
      <c r="S39" s="355"/>
    </row>
    <row r="40" spans="1:19" ht="20.25" customHeight="1" thickBot="1" x14ac:dyDescent="0.35">
      <c r="A40" s="823" t="str">
        <f>IF(D36="Yes","Show","hide")</f>
        <v>hide</v>
      </c>
      <c r="B40" s="5" t="s">
        <v>12</v>
      </c>
      <c r="C40" s="6"/>
      <c r="D40" s="6"/>
      <c r="E40" s="6"/>
      <c r="F40" s="337"/>
      <c r="G40" s="357"/>
      <c r="H40" s="358"/>
      <c r="R40" s="3"/>
      <c r="S40" s="355"/>
    </row>
    <row r="41" spans="1:19" ht="20.25" customHeight="1" thickBot="1" x14ac:dyDescent="0.35">
      <c r="A41" s="824" t="str">
        <f>$A$40</f>
        <v>hide</v>
      </c>
      <c r="B41" s="7" t="s">
        <v>347</v>
      </c>
      <c r="C41" s="50"/>
      <c r="D41" s="50"/>
      <c r="E41" s="8"/>
      <c r="F41" s="743">
        <f>ROUND(99.7%,5)</f>
        <v>0.997</v>
      </c>
      <c r="G41" s="852"/>
      <c r="H41" s="363" t="s">
        <v>6</v>
      </c>
      <c r="R41" s="3"/>
      <c r="S41" s="355"/>
    </row>
    <row r="42" spans="1:19" ht="20.25" customHeight="1" thickBot="1" x14ac:dyDescent="0.35">
      <c r="A42" s="824" t="str">
        <f>$A$40</f>
        <v>hide</v>
      </c>
      <c r="B42" s="7" t="s">
        <v>348</v>
      </c>
      <c r="C42" s="50"/>
      <c r="D42" s="50"/>
      <c r="E42" s="8"/>
      <c r="F42" s="360">
        <f>ROUND(365*24*(1-F41),1)</f>
        <v>26.3</v>
      </c>
      <c r="G42" s="359"/>
      <c r="H42" s="505" t="s">
        <v>8</v>
      </c>
      <c r="J42" s="95"/>
      <c r="K42" s="95"/>
      <c r="L42" s="95"/>
      <c r="M42" s="99"/>
      <c r="N42" s="99"/>
      <c r="R42" s="3"/>
      <c r="S42" s="355"/>
    </row>
    <row r="43" spans="1:19" ht="20.25" customHeight="1" thickBot="1" x14ac:dyDescent="0.35">
      <c r="A43" s="823" t="str">
        <f>IF(AND(D36="Yes",AND('Initial Screens'!C13="VCF 9",'Initial Screens'!D21&gt;0%)),"Show","hide")</f>
        <v>hide</v>
      </c>
      <c r="B43" s="74" t="s">
        <v>785</v>
      </c>
      <c r="C43" s="50"/>
      <c r="D43" s="50"/>
      <c r="E43" s="8"/>
      <c r="F43" s="818"/>
      <c r="G43" s="359"/>
      <c r="H43" s="505"/>
      <c r="J43" s="95"/>
      <c r="K43" s="95"/>
      <c r="L43" s="95"/>
      <c r="M43" s="99"/>
      <c r="N43" s="99"/>
      <c r="R43" s="3"/>
      <c r="S43" s="355"/>
    </row>
    <row r="44" spans="1:19" ht="20.25" customHeight="1" thickBot="1" x14ac:dyDescent="0.35">
      <c r="A44" s="823" t="str">
        <f>$A$43</f>
        <v>hide</v>
      </c>
      <c r="B44" s="7" t="s">
        <v>783</v>
      </c>
      <c r="C44" s="50"/>
      <c r="D44" s="50"/>
      <c r="E44" s="8"/>
      <c r="F44" s="815">
        <f>IF($A$43="Show",90%*(0.8*Misc!E136+0.2*Misc!E137),0%)</f>
        <v>0</v>
      </c>
      <c r="G44" s="359"/>
      <c r="H44" s="825" t="s">
        <v>814</v>
      </c>
      <c r="J44" s="95"/>
      <c r="K44" s="819"/>
      <c r="L44" s="95"/>
      <c r="M44" s="99"/>
      <c r="N44" s="99"/>
      <c r="R44" s="3"/>
      <c r="S44" s="355"/>
    </row>
    <row r="45" spans="1:19" ht="20.25" customHeight="1" thickBot="1" x14ac:dyDescent="0.35">
      <c r="A45" s="823" t="str">
        <f>$A$43</f>
        <v>hide</v>
      </c>
      <c r="B45" s="7" t="s">
        <v>782</v>
      </c>
      <c r="C45" s="50"/>
      <c r="D45" s="50"/>
      <c r="E45" s="8"/>
      <c r="F45" s="815">
        <f>IF($A$43="Show",5%,0%)</f>
        <v>0</v>
      </c>
      <c r="G45" s="359"/>
      <c r="H45" s="363" t="s">
        <v>6</v>
      </c>
      <c r="J45" s="95"/>
      <c r="K45" s="95"/>
      <c r="L45" s="95"/>
      <c r="M45" s="99"/>
      <c r="N45" s="99"/>
      <c r="R45" s="3"/>
      <c r="S45" s="355"/>
    </row>
    <row r="46" spans="1:19" ht="20.25" customHeight="1" thickBot="1" x14ac:dyDescent="0.35">
      <c r="A46" s="823" t="str">
        <f>$A$43</f>
        <v>hide</v>
      </c>
      <c r="B46" s="7" t="s">
        <v>784</v>
      </c>
      <c r="C46" s="50"/>
      <c r="D46" s="50"/>
      <c r="E46" s="8"/>
      <c r="F46" s="360">
        <f ca="1">F42*F45*F6*F8*F44</f>
        <v>0</v>
      </c>
      <c r="G46" s="359"/>
      <c r="H46" s="505" t="s">
        <v>8</v>
      </c>
      <c r="J46" s="95"/>
      <c r="K46" s="95"/>
      <c r="L46" s="95"/>
      <c r="M46" s="99"/>
      <c r="N46" s="99"/>
      <c r="R46" s="3"/>
      <c r="S46" s="355"/>
    </row>
    <row r="47" spans="1:19" ht="20.25" customHeight="1" thickBot="1" x14ac:dyDescent="0.35">
      <c r="A47" s="823" t="str">
        <f>IF(AND(D36="Yes",OR('Initial Screens'!D21&gt;0%,'Initial Screens'!D29="Yes",'Initial Screens'!D26="Yes")),"Show","hide")</f>
        <v>hide</v>
      </c>
      <c r="B47" s="74" t="s">
        <v>786</v>
      </c>
      <c r="C47" s="50"/>
      <c r="D47" s="50"/>
      <c r="E47" s="8"/>
      <c r="F47" s="820"/>
      <c r="G47" s="359"/>
      <c r="H47" s="505"/>
      <c r="J47" s="95"/>
      <c r="K47" s="95"/>
      <c r="L47" s="95"/>
      <c r="M47" s="99"/>
      <c r="N47" s="99"/>
      <c r="R47" s="3"/>
      <c r="S47" s="355"/>
    </row>
    <row r="48" spans="1:19" ht="20.25" customHeight="1" thickBot="1" x14ac:dyDescent="0.35">
      <c r="A48" s="823" t="str">
        <f>IF(AND(D36="Yes",OR('Initial Screens'!D22&gt;0%,'Initial Screens'!D30="Yes",'Initial Screens'!D27="Yes")),"Show","hide")</f>
        <v>hide</v>
      </c>
      <c r="B48" s="7" t="s">
        <v>787</v>
      </c>
      <c r="C48" s="50"/>
      <c r="D48" s="50"/>
      <c r="E48" s="8"/>
      <c r="F48" s="815">
        <f>IF($A$47="Show",10%,0%)</f>
        <v>0</v>
      </c>
      <c r="G48" s="359"/>
      <c r="H48" s="363" t="s">
        <v>6</v>
      </c>
      <c r="J48" s="95"/>
      <c r="K48" s="95"/>
      <c r="L48" s="95"/>
      <c r="M48" s="99"/>
      <c r="N48" s="99"/>
      <c r="R48" s="3"/>
      <c r="S48" s="355"/>
    </row>
    <row r="49" spans="1:19" ht="20.25" customHeight="1" thickBot="1" x14ac:dyDescent="0.35">
      <c r="A49" s="823" t="str">
        <f>IF(AND(D36="Yes",OR('Initial Screens'!D23&gt;0%,'Initial Screens'!D31="Yes",'Initial Screens'!D28="Yes")),"Show","hide")</f>
        <v>hide</v>
      </c>
      <c r="B49" s="7" t="s">
        <v>349</v>
      </c>
      <c r="C49" s="50"/>
      <c r="D49" s="50"/>
      <c r="E49" s="8"/>
      <c r="F49" s="742">
        <f>IF('Initial Screens'!C8="Government",ROUND(F6*F8,0),ROUND(F4*F5/(365*24)*F48*F42,0))</f>
        <v>0</v>
      </c>
      <c r="G49" s="740"/>
      <c r="H49" s="363" t="str">
        <f>IF('Initial Screens'!C8="Government","Estimate based on 'Number of employees' times 'Average fully burdened employee cost per hour (modeled with IT cost per hour)' ","Estimate based on 'Annual revenue' times 'Operating margin' divided by number of hours in a year (24 x 365)")</f>
        <v>Estimate based on 'Annual revenue' times 'Operating margin' divided by number of hours in a year (24 x 365)</v>
      </c>
      <c r="K49" s="95"/>
      <c r="L49" s="95"/>
      <c r="M49" s="99"/>
      <c r="N49" s="99"/>
      <c r="R49" s="3"/>
      <c r="S49" s="355"/>
    </row>
    <row r="50" spans="1:19" s="95" customFormat="1" ht="20.25" customHeight="1" thickBot="1" x14ac:dyDescent="0.35">
      <c r="A50" s="823" t="str">
        <f>$A$40</f>
        <v>hide</v>
      </c>
      <c r="B50" s="91" t="s">
        <v>789</v>
      </c>
      <c r="C50" s="103"/>
      <c r="D50" s="103"/>
      <c r="E50" s="104"/>
      <c r="F50" s="102">
        <f>IF(D36="Yes",SUM(F46,F49*F42),0)</f>
        <v>0</v>
      </c>
      <c r="G50" s="342"/>
      <c r="H50" s="505" t="s">
        <v>8</v>
      </c>
      <c r="J50" s="2"/>
      <c r="K50" s="2"/>
      <c r="L50" s="2"/>
      <c r="M50" s="2"/>
      <c r="N50" s="2"/>
      <c r="O50" s="96"/>
      <c r="P50" s="99"/>
      <c r="Q50" s="100"/>
      <c r="R50" s="195"/>
    </row>
    <row r="51" spans="1:19" s="95" customFormat="1" ht="20.25" customHeight="1" thickBot="1" x14ac:dyDescent="0.35">
      <c r="A51" s="823" t="str">
        <f>$A$40</f>
        <v>hide</v>
      </c>
      <c r="B51" s="5" t="s">
        <v>13</v>
      </c>
      <c r="C51" s="400"/>
      <c r="D51" s="400"/>
      <c r="E51" s="401"/>
      <c r="F51" s="402"/>
      <c r="G51" s="342"/>
      <c r="H51" s="342"/>
      <c r="J51" s="2"/>
      <c r="K51" s="2"/>
      <c r="L51" s="2"/>
      <c r="M51" s="2"/>
      <c r="N51" s="2"/>
      <c r="O51" s="96"/>
      <c r="P51" s="99"/>
      <c r="Q51" s="100"/>
      <c r="R51" s="195"/>
    </row>
    <row r="52" spans="1:19" ht="20.25" customHeight="1" thickBot="1" x14ac:dyDescent="0.35">
      <c r="A52" s="823" t="str">
        <f>$A$40</f>
        <v>hide</v>
      </c>
      <c r="B52" s="7" t="s">
        <v>350</v>
      </c>
      <c r="C52" s="50"/>
      <c r="D52" s="50"/>
      <c r="E52" s="8"/>
      <c r="F52" s="840">
        <f>ROUND(IF(D36="Yes",MIN(70%,SUMPRODUCT(Misc!C121:H121,Misc!C124:H124)),0),2)</f>
        <v>0</v>
      </c>
      <c r="G52" s="726"/>
      <c r="H52" s="363" t="s">
        <v>6</v>
      </c>
      <c r="R52" s="3"/>
      <c r="S52" s="355"/>
    </row>
    <row r="53" spans="1:19" ht="20.25" customHeight="1" thickBot="1" x14ac:dyDescent="0.35">
      <c r="A53" s="823" t="str">
        <f>$A$40</f>
        <v>hide</v>
      </c>
      <c r="B53" s="91" t="s">
        <v>790</v>
      </c>
      <c r="C53" s="103"/>
      <c r="D53" s="103"/>
      <c r="E53" s="104"/>
      <c r="F53" s="102">
        <f>F50*(1-F52)</f>
        <v>0</v>
      </c>
      <c r="G53" s="359"/>
      <c r="H53" s="505" t="s">
        <v>8</v>
      </c>
      <c r="R53" s="3"/>
      <c r="S53" s="355"/>
    </row>
    <row r="54" spans="1:19" ht="20.25" customHeight="1" thickBot="1" x14ac:dyDescent="0.35">
      <c r="A54" s="823" t="str">
        <f>$A$40</f>
        <v>hide</v>
      </c>
      <c r="B54" s="366" t="s">
        <v>351</v>
      </c>
      <c r="C54" s="367"/>
      <c r="D54" s="367"/>
      <c r="E54" s="368"/>
      <c r="F54" s="369">
        <f>F50-F53</f>
        <v>0</v>
      </c>
      <c r="G54" s="425"/>
      <c r="H54" s="505" t="s">
        <v>8</v>
      </c>
      <c r="M54" s="16"/>
      <c r="N54" s="16"/>
      <c r="O54" s="2"/>
      <c r="P54" s="2"/>
      <c r="Q54" s="2"/>
      <c r="R54" s="2"/>
      <c r="S54" s="2"/>
    </row>
    <row r="55" spans="1:19" ht="20.25" customHeight="1" x14ac:dyDescent="0.3">
      <c r="G55" s="2"/>
      <c r="H55" s="355"/>
      <c r="M55" s="16"/>
      <c r="N55" s="16"/>
      <c r="R55" s="3"/>
      <c r="S55" s="355"/>
    </row>
    <row r="56" spans="1:19" ht="15.6" x14ac:dyDescent="0.3">
      <c r="A56" s="726"/>
      <c r="B56" s="95" t="s">
        <v>371</v>
      </c>
      <c r="C56" s="554"/>
      <c r="D56" s="553" t="str">
        <f>IF(C56="",IF(SUM(Misc!$C$122:$F$122)&gt;0,"Yes","No"),C56)</f>
        <v>No</v>
      </c>
      <c r="E56"/>
      <c r="F56"/>
      <c r="G56" s="56"/>
      <c r="H56" s="2"/>
      <c r="O56" s="13"/>
      <c r="Q56" s="17"/>
      <c r="R56" s="56"/>
      <c r="S56" s="2"/>
    </row>
    <row r="57" spans="1:19" ht="15" thickBot="1" x14ac:dyDescent="0.35">
      <c r="F57"/>
      <c r="G57" s="56"/>
      <c r="H57" s="2"/>
      <c r="O57" s="13"/>
      <c r="Q57" s="17"/>
      <c r="R57" s="56"/>
      <c r="S57" s="2"/>
    </row>
    <row r="58" spans="1:19" ht="20.25" customHeight="1" thickBot="1" x14ac:dyDescent="0.35">
      <c r="B58" s="343" t="s">
        <v>361</v>
      </c>
      <c r="C58" s="344"/>
      <c r="D58" s="344"/>
      <c r="E58" s="344"/>
      <c r="F58" s="345"/>
      <c r="G58" s="354"/>
      <c r="H58" s="45"/>
    </row>
    <row r="59" spans="1:19" ht="16.2" thickBot="1" x14ac:dyDescent="0.35">
      <c r="F59" s="2"/>
      <c r="G59" s="2"/>
      <c r="H59" s="370"/>
    </row>
    <row r="60" spans="1:19" ht="20.25" customHeight="1" thickBot="1" x14ac:dyDescent="0.35">
      <c r="B60" s="5"/>
      <c r="C60" s="6"/>
      <c r="D60" s="6"/>
      <c r="E60" s="6"/>
      <c r="F60" s="337"/>
      <c r="G60" s="2"/>
      <c r="H60" s="11" t="s">
        <v>2</v>
      </c>
    </row>
    <row r="61" spans="1:19" ht="20.25" customHeight="1" thickBot="1" x14ac:dyDescent="0.35">
      <c r="B61" s="7" t="s">
        <v>352</v>
      </c>
      <c r="C61" s="50"/>
      <c r="D61" s="50"/>
      <c r="E61" s="8"/>
      <c r="F61" s="362">
        <f ca="1">ROUND(Benchmarks!D91,0)</f>
        <v>11660000</v>
      </c>
      <c r="G61" s="2"/>
      <c r="H61" s="363" t="s">
        <v>536</v>
      </c>
    </row>
    <row r="62" spans="1:19" ht="20.25" customHeight="1" thickBot="1" x14ac:dyDescent="0.35">
      <c r="B62" s="7" t="s">
        <v>423</v>
      </c>
      <c r="C62" s="50"/>
      <c r="D62" s="50"/>
      <c r="E62" s="8"/>
      <c r="F62" s="416">
        <f>ROUND(1/3,3)</f>
        <v>0.33300000000000002</v>
      </c>
      <c r="G62" s="2"/>
      <c r="H62" s="363" t="str">
        <f>"Chance of a significant breach in next "&amp;FIXED(1/F62,1)&amp;" years"</f>
        <v>Chance of a significant breach in next 3.0 years</v>
      </c>
    </row>
    <row r="63" spans="1:19" ht="20.25" customHeight="1" thickBot="1" x14ac:dyDescent="0.35">
      <c r="B63" s="7" t="s">
        <v>353</v>
      </c>
      <c r="C63" s="50"/>
      <c r="D63" s="50"/>
      <c r="E63" s="8"/>
      <c r="F63" s="372">
        <f ca="1">ROUND(F61*F62,0)</f>
        <v>3882780</v>
      </c>
      <c r="G63" s="2"/>
      <c r="H63" s="505" t="s">
        <v>8</v>
      </c>
    </row>
    <row r="64" spans="1:19" ht="20.25" customHeight="1" thickBot="1" x14ac:dyDescent="0.35">
      <c r="B64" s="7" t="s">
        <v>424</v>
      </c>
      <c r="C64" s="50"/>
      <c r="D64" s="50"/>
      <c r="E64" s="8"/>
      <c r="F64" s="364">
        <f>ROUND(IF(D56="Yes",SUM(Misc!C122:F122),0),3)</f>
        <v>0</v>
      </c>
      <c r="G64" s="726"/>
      <c r="H64" s="363" t="s">
        <v>6</v>
      </c>
    </row>
    <row r="65" spans="1:19" ht="20.25" customHeight="1" thickBot="1" x14ac:dyDescent="0.35">
      <c r="B65" s="373" t="s">
        <v>351</v>
      </c>
      <c r="C65" s="374"/>
      <c r="D65" s="374"/>
      <c r="E65" s="375"/>
      <c r="F65" s="376">
        <f ca="1">ROUND(F63*F64,0)</f>
        <v>0</v>
      </c>
      <c r="G65" s="2"/>
      <c r="H65" s="505" t="s">
        <v>8</v>
      </c>
    </row>
    <row r="66" spans="1:19" ht="10.050000000000001" customHeight="1" x14ac:dyDescent="0.3">
      <c r="F66" s="2"/>
      <c r="G66" s="2"/>
      <c r="H66" s="2"/>
      <c r="M66" s="16"/>
      <c r="N66" s="16"/>
    </row>
    <row r="67" spans="1:19" collapsed="1" x14ac:dyDescent="0.3">
      <c r="M67" s="16"/>
      <c r="N67" s="16"/>
    </row>
    <row r="68" spans="1:19" ht="15.6" x14ac:dyDescent="0.3">
      <c r="A68" s="726"/>
      <c r="B68" s="95" t="s">
        <v>370</v>
      </c>
      <c r="C68" s="554"/>
      <c r="D68" s="553" t="str">
        <f>IF(C68="",IF(SUM(Misc!$C$123:$F$123)&gt;0,"Yes","No"),C68)</f>
        <v>No</v>
      </c>
      <c r="E68"/>
      <c r="F68"/>
      <c r="G68" s="56"/>
      <c r="H68" s="2"/>
      <c r="O68" s="13"/>
      <c r="Q68" s="17"/>
      <c r="R68" s="56"/>
      <c r="S68" s="2"/>
    </row>
    <row r="69" spans="1:19" ht="15" thickBot="1" x14ac:dyDescent="0.35">
      <c r="A69" s="154"/>
      <c r="F69"/>
      <c r="G69" s="56"/>
      <c r="H69" s="2"/>
      <c r="O69" s="13"/>
      <c r="Q69" s="17"/>
      <c r="R69" s="56"/>
      <c r="S69" s="2"/>
    </row>
    <row r="70" spans="1:19" ht="20.25" customHeight="1" thickBot="1" x14ac:dyDescent="0.35">
      <c r="B70" s="343" t="s">
        <v>354</v>
      </c>
      <c r="C70" s="344"/>
      <c r="D70" s="344"/>
      <c r="E70" s="344"/>
      <c r="F70" s="345"/>
      <c r="H70" s="45"/>
    </row>
    <row r="71" spans="1:19" ht="16.2" thickBot="1" x14ac:dyDescent="0.35">
      <c r="F71" s="2"/>
      <c r="G71" s="2"/>
      <c r="H71" s="370"/>
    </row>
    <row r="72" spans="1:19" ht="20.25" customHeight="1" thickBot="1" x14ac:dyDescent="0.35">
      <c r="B72" s="5"/>
      <c r="C72" s="6"/>
      <c r="D72" s="6"/>
      <c r="E72" s="6"/>
      <c r="F72" s="337"/>
      <c r="G72" s="2"/>
      <c r="H72" s="11" t="s">
        <v>2</v>
      </c>
    </row>
    <row r="73" spans="1:19" ht="20.25" customHeight="1" thickBot="1" x14ac:dyDescent="0.35">
      <c r="B73" s="7" t="s">
        <v>425</v>
      </c>
      <c r="C73" s="50"/>
      <c r="D73" s="50"/>
      <c r="E73" s="8"/>
      <c r="F73" s="362">
        <f ca="1">ROUND(F113,0)</f>
        <v>10313813</v>
      </c>
      <c r="G73" s="403" t="s">
        <v>503</v>
      </c>
      <c r="H73" s="363" t="s">
        <v>406</v>
      </c>
    </row>
    <row r="74" spans="1:19" ht="20.25" customHeight="1" thickBot="1" x14ac:dyDescent="0.35">
      <c r="B74" s="7" t="s">
        <v>355</v>
      </c>
      <c r="C74" s="50"/>
      <c r="D74" s="50"/>
      <c r="E74" s="8"/>
      <c r="F74" s="416">
        <f>ROUND(1/3,3)</f>
        <v>0.33300000000000002</v>
      </c>
      <c r="G74" s="2"/>
      <c r="H74" s="363" t="str">
        <f>"Chance of a significant breach in next "&amp;FIXED(1/F74,1)&amp;" years"</f>
        <v>Chance of a significant breach in next 3.0 years</v>
      </c>
    </row>
    <row r="75" spans="1:19" ht="20.25" customHeight="1" thickBot="1" x14ac:dyDescent="0.35">
      <c r="B75" s="7" t="s">
        <v>353</v>
      </c>
      <c r="C75" s="50"/>
      <c r="D75" s="50"/>
      <c r="E75" s="8"/>
      <c r="F75" s="372">
        <f ca="1">ROUND(F73*F74,0)</f>
        <v>3434500</v>
      </c>
      <c r="G75" s="2"/>
      <c r="H75" s="505" t="s">
        <v>8</v>
      </c>
    </row>
    <row r="76" spans="1:19" ht="20.25" customHeight="1" thickBot="1" x14ac:dyDescent="0.35">
      <c r="B76" s="7" t="s">
        <v>350</v>
      </c>
      <c r="C76" s="50"/>
      <c r="D76" s="50"/>
      <c r="E76" s="8"/>
      <c r="F76" s="364">
        <f>IF(D68="Yes",ROUND(SUM(Misc!C123:F123),3),0)</f>
        <v>0</v>
      </c>
      <c r="G76" s="726"/>
      <c r="H76" s="363" t="s">
        <v>6</v>
      </c>
    </row>
    <row r="77" spans="1:19" ht="20.25" customHeight="1" thickBot="1" x14ac:dyDescent="0.35">
      <c r="B77" s="373" t="s">
        <v>351</v>
      </c>
      <c r="C77" s="374"/>
      <c r="D77" s="374"/>
      <c r="E77" s="375"/>
      <c r="F77" s="376">
        <f ca="1">ROUND(F75*F76,0)</f>
        <v>0</v>
      </c>
      <c r="G77" s="2"/>
      <c r="H77" s="505" t="s">
        <v>8</v>
      </c>
    </row>
    <row r="78" spans="1:19" ht="10.050000000000001" customHeight="1" x14ac:dyDescent="0.3">
      <c r="F78" s="2"/>
      <c r="G78" s="2"/>
      <c r="H78" s="2"/>
      <c r="K78"/>
      <c r="L78"/>
      <c r="M78"/>
      <c r="N78"/>
    </row>
    <row r="79" spans="1:19" collapsed="1" x14ac:dyDescent="0.3">
      <c r="K79"/>
      <c r="L79"/>
      <c r="M79"/>
      <c r="N79"/>
    </row>
    <row r="80" spans="1:19" customFormat="1" ht="15.6" x14ac:dyDescent="0.3">
      <c r="A80" s="333"/>
      <c r="B80" s="896" t="s">
        <v>372</v>
      </c>
      <c r="C80" s="897"/>
      <c r="D80" s="897"/>
      <c r="E80" s="897"/>
      <c r="F80" s="898"/>
      <c r="G80" s="79"/>
      <c r="H80" s="17"/>
      <c r="I80" s="2"/>
    </row>
    <row r="81" spans="1:9" customFormat="1" x14ac:dyDescent="0.3">
      <c r="A81" s="333"/>
      <c r="B81" s="404"/>
      <c r="G81" s="79"/>
      <c r="H81" s="17"/>
      <c r="I81" s="2"/>
    </row>
    <row r="82" spans="1:9" customFormat="1" x14ac:dyDescent="0.3">
      <c r="A82" s="333"/>
      <c r="B82" s="413" t="s">
        <v>373</v>
      </c>
      <c r="C82" s="261"/>
      <c r="D82" s="101"/>
      <c r="E82" s="76"/>
      <c r="F82" s="417">
        <f>ROUND(24*7,0)</f>
        <v>168</v>
      </c>
      <c r="G82" s="79"/>
      <c r="H82" s="60" t="s">
        <v>374</v>
      </c>
      <c r="I82" s="2"/>
    </row>
    <row r="83" spans="1:9" customFormat="1" ht="15" thickBot="1" x14ac:dyDescent="0.35">
      <c r="A83" s="333"/>
      <c r="C83" s="2"/>
      <c r="E83" s="2"/>
      <c r="G83" s="79"/>
      <c r="H83" s="52"/>
      <c r="I83" s="2"/>
    </row>
    <row r="84" spans="1:9" customFormat="1" ht="15" thickBot="1" x14ac:dyDescent="0.35">
      <c r="A84" s="333"/>
      <c r="B84" s="908" t="s">
        <v>375</v>
      </c>
      <c r="C84" s="908"/>
      <c r="D84" s="908"/>
      <c r="E84" s="909"/>
      <c r="F84" s="157">
        <f>SUM(F87,F92)</f>
        <v>6075888</v>
      </c>
      <c r="G84" s="79"/>
      <c r="H84" s="505" t="s">
        <v>8</v>
      </c>
      <c r="I84" s="2"/>
    </row>
    <row r="85" spans="1:9" customFormat="1" x14ac:dyDescent="0.3">
      <c r="A85" s="333"/>
      <c r="B85" s="405" t="s">
        <v>376</v>
      </c>
      <c r="C85" s="2"/>
      <c r="E85" s="2"/>
      <c r="G85" s="79"/>
      <c r="H85" s="52"/>
      <c r="I85" s="2"/>
    </row>
    <row r="86" spans="1:9" customFormat="1" x14ac:dyDescent="0.3">
      <c r="A86" s="333"/>
      <c r="B86" s="413" t="s">
        <v>349</v>
      </c>
      <c r="C86" s="261"/>
      <c r="D86" s="101"/>
      <c r="E86" s="76"/>
      <c r="F86" s="741">
        <f>IF('Initial Screens'!C8="Government",ROUND(F6*F8,0),ROUND(F4*F5/(365*24),0))</f>
        <v>11416</v>
      </c>
      <c r="G86" s="740"/>
      <c r="H86" s="384" t="str">
        <f>IF('Initial Screens'!C8="Government","Estimate based on 'Number of employees' times 'Average fully burdened employee cost per hour (modeled with IT cost per hour)' ","Estimate based on 'Annual revenue' times 'Operating margin' divided by number of hours in a year (24 x 365)")</f>
        <v>Estimate based on 'Annual revenue' times 'Operating margin' divided by number of hours in a year (24 x 365)</v>
      </c>
      <c r="I86" s="2"/>
    </row>
    <row r="87" spans="1:9" customFormat="1" x14ac:dyDescent="0.3">
      <c r="A87" s="333"/>
      <c r="B87" s="413" t="s">
        <v>377</v>
      </c>
      <c r="C87" s="261"/>
      <c r="D87" s="101"/>
      <c r="E87" s="76"/>
      <c r="F87" s="132">
        <f>ROUND(F86*F82,0)</f>
        <v>1917888</v>
      </c>
      <c r="G87" s="79"/>
      <c r="H87" s="505" t="s">
        <v>8</v>
      </c>
      <c r="I87" s="2"/>
    </row>
    <row r="88" spans="1:9" customFormat="1" x14ac:dyDescent="0.3">
      <c r="A88" s="333"/>
      <c r="B88" s="47" t="s">
        <v>378</v>
      </c>
      <c r="C88" s="2"/>
      <c r="E88" s="2"/>
      <c r="G88" s="79"/>
      <c r="H88" s="52"/>
      <c r="I88" s="2"/>
    </row>
    <row r="89" spans="1:9" customFormat="1" x14ac:dyDescent="0.3">
      <c r="A89" s="333"/>
      <c r="B89" s="413" t="s">
        <v>469</v>
      </c>
      <c r="C89" s="261"/>
      <c r="D89" s="101"/>
      <c r="E89" s="76"/>
      <c r="F89" s="406">
        <f>ROUND(0.3,2)</f>
        <v>0.3</v>
      </c>
      <c r="G89" s="79"/>
      <c r="H89" s="384" t="s">
        <v>6</v>
      </c>
      <c r="I89" s="2"/>
    </row>
    <row r="90" spans="1:9" customFormat="1" x14ac:dyDescent="0.3">
      <c r="A90" s="333"/>
      <c r="B90" s="413" t="s">
        <v>379</v>
      </c>
      <c r="C90" s="261"/>
      <c r="D90" s="101"/>
      <c r="E90" s="76"/>
      <c r="F90" s="408">
        <f>IF('Initial Screens'!C9="AMER",100,IF('Initial Screens'!C9="Latam",35,65))</f>
        <v>100</v>
      </c>
      <c r="G90" s="79"/>
      <c r="H90" s="384" t="s">
        <v>6</v>
      </c>
      <c r="I90" s="2"/>
    </row>
    <row r="91" spans="1:9" customFormat="1" x14ac:dyDescent="0.3">
      <c r="A91" s="333"/>
      <c r="B91" s="413" t="s">
        <v>380</v>
      </c>
      <c r="C91" s="261"/>
      <c r="D91" s="101"/>
      <c r="E91" s="76"/>
      <c r="F91" s="406">
        <f>ROUND(0.33,2)</f>
        <v>0.33</v>
      </c>
      <c r="G91" s="79"/>
      <c r="H91" s="384" t="s">
        <v>6</v>
      </c>
      <c r="I91" s="2"/>
    </row>
    <row r="92" spans="1:9" customFormat="1" x14ac:dyDescent="0.3">
      <c r="A92" s="333"/>
      <c r="B92" s="413" t="s">
        <v>381</v>
      </c>
      <c r="C92" s="261"/>
      <c r="D92" s="101"/>
      <c r="E92" s="76"/>
      <c r="F92" s="132">
        <f>F6*F89*F90*F91*F82</f>
        <v>4158000</v>
      </c>
      <c r="G92" s="79"/>
      <c r="H92" s="505" t="s">
        <v>8</v>
      </c>
      <c r="I92" s="2"/>
    </row>
    <row r="93" spans="1:9" customFormat="1" ht="15" thickBot="1" x14ac:dyDescent="0.35">
      <c r="A93" s="333"/>
      <c r="C93" s="2"/>
      <c r="D93" s="407"/>
      <c r="E93" s="2"/>
      <c r="F93" s="409"/>
      <c r="G93" s="79"/>
      <c r="H93" s="52"/>
      <c r="I93" s="2"/>
    </row>
    <row r="94" spans="1:9" customFormat="1" ht="15" thickBot="1" x14ac:dyDescent="0.35">
      <c r="A94" s="333"/>
      <c r="B94" s="908" t="s">
        <v>382</v>
      </c>
      <c r="C94" s="908"/>
      <c r="D94" s="908"/>
      <c r="E94" s="909"/>
      <c r="F94" s="157">
        <f ca="1">SUM(F98,F102)</f>
        <v>709800</v>
      </c>
      <c r="G94" s="79"/>
      <c r="H94" s="505" t="s">
        <v>8</v>
      </c>
      <c r="I94" s="2"/>
    </row>
    <row r="95" spans="1:9" customFormat="1" x14ac:dyDescent="0.3">
      <c r="A95" s="333"/>
      <c r="B95" s="47" t="s">
        <v>383</v>
      </c>
      <c r="C95" s="2"/>
      <c r="D95" s="407"/>
      <c r="E95" s="2"/>
      <c r="F95" s="52"/>
      <c r="G95" s="79"/>
      <c r="H95" s="52"/>
      <c r="I95" s="2"/>
    </row>
    <row r="96" spans="1:9" customFormat="1" x14ac:dyDescent="0.3">
      <c r="A96" s="333"/>
      <c r="B96" s="413" t="s">
        <v>384</v>
      </c>
      <c r="C96" s="261"/>
      <c r="D96" s="101"/>
      <c r="E96" s="76"/>
      <c r="F96" s="60">
        <f>ROUND('Excel Output'!D22/500,2)</f>
        <v>10</v>
      </c>
      <c r="G96" s="79"/>
      <c r="H96" s="60" t="s">
        <v>385</v>
      </c>
      <c r="I96" s="2"/>
    </row>
    <row r="97" spans="1:14" customFormat="1" x14ac:dyDescent="0.3">
      <c r="A97" s="333"/>
      <c r="B97" s="413" t="s">
        <v>386</v>
      </c>
      <c r="C97" s="261"/>
      <c r="D97" s="101"/>
      <c r="E97" s="76"/>
      <c r="F97" s="410">
        <v>325</v>
      </c>
      <c r="G97" s="79"/>
      <c r="H97" s="60" t="s">
        <v>407</v>
      </c>
      <c r="I97" s="2"/>
    </row>
    <row r="98" spans="1:14" customFormat="1" x14ac:dyDescent="0.3">
      <c r="A98" s="333"/>
      <c r="B98" s="413" t="s">
        <v>387</v>
      </c>
      <c r="C98" s="261"/>
      <c r="D98" s="101"/>
      <c r="E98" s="76"/>
      <c r="F98" s="132">
        <f>F96*F97*F82</f>
        <v>546000</v>
      </c>
      <c r="G98" s="79"/>
      <c r="H98" s="505" t="s">
        <v>8</v>
      </c>
      <c r="I98" s="2"/>
    </row>
    <row r="99" spans="1:14" customFormat="1" x14ac:dyDescent="0.3">
      <c r="A99" s="333"/>
      <c r="B99" s="47" t="s">
        <v>388</v>
      </c>
      <c r="C99" s="2"/>
      <c r="D99" s="407"/>
      <c r="E99" s="2"/>
      <c r="F99" s="52"/>
      <c r="G99" s="79"/>
      <c r="H99" s="52"/>
      <c r="I99" s="2"/>
    </row>
    <row r="100" spans="1:14" customFormat="1" x14ac:dyDescent="0.3">
      <c r="A100" s="333"/>
      <c r="B100" s="413" t="s">
        <v>389</v>
      </c>
      <c r="C100" s="261"/>
      <c r="D100" s="101"/>
      <c r="E100" s="76"/>
      <c r="F100" s="60">
        <f>ROUND('Excel Output'!D22/500,2)</f>
        <v>10</v>
      </c>
      <c r="G100" s="79"/>
      <c r="H100" s="60" t="s">
        <v>385</v>
      </c>
      <c r="I100" s="2"/>
    </row>
    <row r="101" spans="1:14" customFormat="1" x14ac:dyDescent="0.3">
      <c r="A101" s="333"/>
      <c r="B101" s="413" t="s">
        <v>390</v>
      </c>
      <c r="C101" s="261"/>
      <c r="D101" s="101"/>
      <c r="E101" s="76"/>
      <c r="F101" s="408">
        <f ca="1">ROUND(F8,2)</f>
        <v>97.5</v>
      </c>
      <c r="G101" s="79"/>
      <c r="H101" s="60" t="s">
        <v>52</v>
      </c>
      <c r="I101" s="2"/>
    </row>
    <row r="102" spans="1:14" customFormat="1" x14ac:dyDescent="0.3">
      <c r="A102" s="333"/>
      <c r="B102" s="413" t="s">
        <v>391</v>
      </c>
      <c r="C102" s="261"/>
      <c r="D102" s="101"/>
      <c r="E102" s="76"/>
      <c r="F102" s="132">
        <f ca="1">F101*F100*F82</f>
        <v>163800</v>
      </c>
      <c r="G102" s="79"/>
      <c r="H102" s="505" t="s">
        <v>8</v>
      </c>
      <c r="I102" s="2"/>
    </row>
    <row r="103" spans="1:14" customFormat="1" ht="15" thickBot="1" x14ac:dyDescent="0.35">
      <c r="A103" s="333"/>
      <c r="C103" s="2"/>
      <c r="E103" s="2"/>
      <c r="F103" s="52"/>
      <c r="G103" s="79"/>
      <c r="H103" s="52"/>
      <c r="I103" s="2"/>
    </row>
    <row r="104" spans="1:14" customFormat="1" ht="15" thickBot="1" x14ac:dyDescent="0.35">
      <c r="A104" s="333"/>
      <c r="B104" s="908" t="s">
        <v>392</v>
      </c>
      <c r="C104" s="908"/>
      <c r="D104" s="908"/>
      <c r="E104" s="909"/>
      <c r="F104" s="157">
        <f>SUM(F108,F110,F111)</f>
        <v>3528125</v>
      </c>
      <c r="G104" s="79"/>
      <c r="H104" s="60" t="s">
        <v>408</v>
      </c>
      <c r="I104" s="2"/>
      <c r="J104" s="2"/>
    </row>
    <row r="105" spans="1:14" customFormat="1" x14ac:dyDescent="0.3">
      <c r="A105" s="333"/>
      <c r="B105" s="47" t="s">
        <v>393</v>
      </c>
      <c r="C105" s="2"/>
      <c r="E105" s="2"/>
      <c r="F105" s="52"/>
      <c r="G105" s="79"/>
      <c r="H105" s="52"/>
      <c r="I105" s="2"/>
      <c r="J105" s="2"/>
    </row>
    <row r="106" spans="1:14" customFormat="1" x14ac:dyDescent="0.3">
      <c r="A106" s="333"/>
      <c r="B106" s="413" t="s">
        <v>394</v>
      </c>
      <c r="C106" s="261"/>
      <c r="D106" s="101"/>
      <c r="E106" s="76"/>
      <c r="F106" s="410">
        <f>ROUND(228125,0)</f>
        <v>228125</v>
      </c>
      <c r="G106" s="79"/>
      <c r="H106" s="60" t="s">
        <v>395</v>
      </c>
      <c r="I106" s="411" t="s">
        <v>396</v>
      </c>
      <c r="J106" s="2"/>
    </row>
    <row r="107" spans="1:14" customFormat="1" x14ac:dyDescent="0.3">
      <c r="A107" s="333"/>
      <c r="B107" s="413" t="s">
        <v>397</v>
      </c>
      <c r="C107" s="261"/>
      <c r="D107" s="101"/>
      <c r="E107" s="76"/>
      <c r="F107" s="410">
        <f>250000</f>
        <v>250000</v>
      </c>
      <c r="G107" s="79"/>
      <c r="H107" s="60" t="s">
        <v>66</v>
      </c>
      <c r="I107" s="1"/>
      <c r="J107" s="2"/>
    </row>
    <row r="108" spans="1:14" customFormat="1" x14ac:dyDescent="0.3">
      <c r="A108" s="333"/>
      <c r="B108" s="413" t="s">
        <v>398</v>
      </c>
      <c r="C108" s="261"/>
      <c r="D108" s="101"/>
      <c r="E108" s="76"/>
      <c r="F108" s="132">
        <f>SUM(F106:F107)</f>
        <v>478125</v>
      </c>
      <c r="G108" s="79"/>
      <c r="H108" s="505" t="s">
        <v>8</v>
      </c>
      <c r="J108" s="2"/>
    </row>
    <row r="109" spans="1:14" customFormat="1" x14ac:dyDescent="0.3">
      <c r="A109" s="333"/>
      <c r="B109" s="47" t="s">
        <v>399</v>
      </c>
      <c r="C109" s="2"/>
      <c r="E109" s="2"/>
      <c r="F109" s="412"/>
      <c r="G109" s="79"/>
      <c r="H109" s="52"/>
      <c r="J109" s="2"/>
    </row>
    <row r="110" spans="1:14" customFormat="1" x14ac:dyDescent="0.3">
      <c r="A110" s="333"/>
      <c r="B110" s="413" t="s">
        <v>400</v>
      </c>
      <c r="C110" s="261"/>
      <c r="D110" s="101"/>
      <c r="E110" s="76"/>
      <c r="F110" s="410">
        <f>ROUND(3%*F4*F5,0)</f>
        <v>3000000</v>
      </c>
      <c r="G110" s="79"/>
      <c r="H110" s="60" t="s">
        <v>401</v>
      </c>
      <c r="I110" s="403" t="s">
        <v>402</v>
      </c>
    </row>
    <row r="111" spans="1:14" customFormat="1" x14ac:dyDescent="0.3">
      <c r="A111" s="333"/>
      <c r="B111" s="413" t="s">
        <v>403</v>
      </c>
      <c r="C111" s="261"/>
      <c r="D111" s="101"/>
      <c r="E111" s="76"/>
      <c r="F111" s="410">
        <f>ROUND(0.05%*F4*F5,0)</f>
        <v>50000</v>
      </c>
      <c r="G111" s="79"/>
      <c r="H111" s="60" t="s">
        <v>404</v>
      </c>
      <c r="L111" s="2"/>
      <c r="M111" s="2"/>
      <c r="N111" s="2"/>
    </row>
    <row r="112" spans="1:14" customFormat="1" ht="15" thickBot="1" x14ac:dyDescent="0.35">
      <c r="A112" s="333"/>
      <c r="B112" s="414"/>
      <c r="C112" s="2"/>
      <c r="E112" s="2"/>
      <c r="F112" s="415"/>
      <c r="G112" s="79"/>
      <c r="H112" s="52"/>
      <c r="I112" s="2"/>
      <c r="J112" s="2"/>
      <c r="K112" s="2"/>
      <c r="L112" s="2"/>
      <c r="M112" s="2"/>
      <c r="N112" s="2"/>
    </row>
    <row r="113" spans="1:14" ht="15" thickBot="1" x14ac:dyDescent="0.35">
      <c r="B113" s="419" t="s">
        <v>405</v>
      </c>
      <c r="C113" s="420"/>
      <c r="D113" s="421"/>
      <c r="E113" s="422"/>
      <c r="F113" s="418">
        <f ca="1">SUM(F84,F94,F104)</f>
        <v>10313813</v>
      </c>
      <c r="H113" s="505" t="s">
        <v>8</v>
      </c>
    </row>
    <row r="114" spans="1:14" x14ac:dyDescent="0.3">
      <c r="G114" s="2"/>
      <c r="H114" s="2"/>
    </row>
    <row r="115" spans="1:14" ht="15.6" x14ac:dyDescent="0.3">
      <c r="F115" s="2"/>
      <c r="G115" s="2"/>
      <c r="H115" s="2"/>
      <c r="J115" s="94"/>
      <c r="K115" s="94"/>
      <c r="L115" s="94"/>
      <c r="M115" s="94"/>
      <c r="N115" s="94"/>
    </row>
    <row r="116" spans="1:14" x14ac:dyDescent="0.3">
      <c r="F116" s="2"/>
      <c r="G116" s="2"/>
      <c r="H116" s="2"/>
    </row>
    <row r="117" spans="1:14" s="94" customFormat="1" ht="16.2" customHeight="1" x14ac:dyDescent="0.3">
      <c r="A117" s="129"/>
      <c r="J117" s="2"/>
      <c r="K117" s="2"/>
      <c r="L117" s="2"/>
      <c r="M117" s="2"/>
      <c r="N117" s="2"/>
    </row>
    <row r="118" spans="1:14" x14ac:dyDescent="0.3">
      <c r="H118" s="2"/>
    </row>
    <row r="119" spans="1:14" x14ac:dyDescent="0.3">
      <c r="H119" s="2"/>
    </row>
    <row r="120" spans="1:14" x14ac:dyDescent="0.3">
      <c r="H120" s="2"/>
    </row>
    <row r="121" spans="1:14" x14ac:dyDescent="0.3">
      <c r="H121" s="2"/>
    </row>
    <row r="122" spans="1:14" x14ac:dyDescent="0.3">
      <c r="H122" s="2"/>
    </row>
    <row r="123" spans="1:14" x14ac:dyDescent="0.3">
      <c r="H123" s="2"/>
    </row>
    <row r="124" spans="1:14" x14ac:dyDescent="0.3">
      <c r="H124" s="2"/>
    </row>
    <row r="125" spans="1:14" x14ac:dyDescent="0.3">
      <c r="F125" s="2"/>
      <c r="G125" s="2"/>
      <c r="H125" s="2"/>
    </row>
    <row r="126" spans="1:14" x14ac:dyDescent="0.3">
      <c r="F126" s="2"/>
      <c r="G126" s="2"/>
      <c r="H126" s="2"/>
    </row>
    <row r="127" spans="1:14" x14ac:dyDescent="0.3">
      <c r="F127" s="2"/>
      <c r="G127" s="2"/>
      <c r="H127" s="2"/>
    </row>
    <row r="128" spans="1:14" x14ac:dyDescent="0.3">
      <c r="F128" s="2"/>
      <c r="G128" s="2"/>
      <c r="H128" s="2"/>
    </row>
    <row r="129" spans="6:8" x14ac:dyDescent="0.3">
      <c r="F129" s="2"/>
      <c r="G129" s="2"/>
      <c r="H129" s="2"/>
    </row>
    <row r="130" spans="6:8" x14ac:dyDescent="0.3">
      <c r="F130" s="2"/>
      <c r="G130" s="2"/>
      <c r="H130" s="2"/>
    </row>
    <row r="131" spans="6:8" x14ac:dyDescent="0.3">
      <c r="F131" s="2"/>
      <c r="G131" s="2"/>
      <c r="H131" s="2"/>
    </row>
    <row r="132" spans="6:8" x14ac:dyDescent="0.3">
      <c r="F132" s="2"/>
      <c r="G132" s="2"/>
      <c r="H132" s="2"/>
    </row>
    <row r="133" spans="6:8" x14ac:dyDescent="0.3">
      <c r="F133" s="2"/>
      <c r="G133" s="2"/>
      <c r="H133" s="2"/>
    </row>
    <row r="134" spans="6:8" x14ac:dyDescent="0.3">
      <c r="F134" s="2"/>
      <c r="G134" s="2"/>
      <c r="H134" s="2"/>
    </row>
    <row r="135" spans="6:8" x14ac:dyDescent="0.3">
      <c r="F135" s="2"/>
      <c r="G135" s="2"/>
      <c r="H135" s="2"/>
    </row>
    <row r="136" spans="6:8" x14ac:dyDescent="0.3">
      <c r="F136" s="2"/>
      <c r="G136" s="2"/>
      <c r="H136" s="2"/>
    </row>
    <row r="137" spans="6:8" x14ac:dyDescent="0.3">
      <c r="F137" s="2"/>
      <c r="G137" s="2"/>
      <c r="H137" s="2"/>
    </row>
    <row r="138" spans="6:8" x14ac:dyDescent="0.3">
      <c r="F138" s="2"/>
      <c r="G138" s="2"/>
      <c r="H138" s="2"/>
    </row>
    <row r="139" spans="6:8" x14ac:dyDescent="0.3">
      <c r="F139" s="2"/>
      <c r="G139" s="2"/>
      <c r="H139" s="2"/>
    </row>
    <row r="140" spans="6:8" x14ac:dyDescent="0.3">
      <c r="F140" s="2"/>
      <c r="G140" s="2"/>
      <c r="H140" s="2"/>
    </row>
    <row r="141" spans="6:8" x14ac:dyDescent="0.3">
      <c r="F141" s="2"/>
      <c r="G141" s="2"/>
      <c r="H141" s="2"/>
    </row>
    <row r="142" spans="6:8" x14ac:dyDescent="0.3">
      <c r="F142" s="2"/>
      <c r="G142" s="2"/>
      <c r="H142" s="2"/>
    </row>
    <row r="143" spans="6:8" x14ac:dyDescent="0.3">
      <c r="F143" s="2"/>
      <c r="G143" s="2"/>
      <c r="H143" s="2"/>
    </row>
    <row r="144" spans="6:8" x14ac:dyDescent="0.3">
      <c r="F144" s="2"/>
      <c r="G144" s="2"/>
      <c r="H144" s="2"/>
    </row>
    <row r="145" spans="6:8" x14ac:dyDescent="0.3">
      <c r="F145" s="2"/>
      <c r="G145" s="2"/>
      <c r="H145" s="2"/>
    </row>
    <row r="146" spans="6:8" x14ac:dyDescent="0.3">
      <c r="F146" s="2"/>
      <c r="G146" s="2"/>
    </row>
  </sheetData>
  <mergeCells count="4">
    <mergeCell ref="B94:E94"/>
    <mergeCell ref="B104:E104"/>
    <mergeCell ref="B84:E84"/>
    <mergeCell ref="B80:F80"/>
  </mergeCells>
  <dataValidations count="2">
    <dataValidation type="list" operator="greaterThanOrEqual" allowBlank="1" showInputMessage="1" showErrorMessage="1" sqref="C70 C58" xr:uid="{61826FC2-8071-4BC4-8011-DCEC99E2CD7B}">
      <formula1>"Yes, No"</formula1>
    </dataValidation>
    <dataValidation type="decimal" allowBlank="1" showInputMessage="1" showErrorMessage="1" sqref="F5" xr:uid="{A075362F-98E9-4B68-BCE7-2D49A6A562AE}">
      <formula1>0</formula1>
      <formula2>0.99</formula2>
    </dataValidation>
  </dataValidations>
  <hyperlinks>
    <hyperlink ref="I106" r:id="rId1" location=":~:text=Average%20and%20Median%20Ransom%20Payment%20in%20Q2%202022&amp;text=The%20average%20ransom%20payment%20increased,51%25%20decrease%20from%20Q1%202022." display="https://www.coveware.com/blog/2022/7/27/fewer-ransomware-victims-pay-as-medium-ransom-falls-in-q2-2022#:~:text=Average%20and%20Median%20Ransom%20Payment%20in%20Q2%202022&amp;text=The%20average%20ransom%20payment%20increased,51%25%20decrease%20from%20Q1%202022." xr:uid="{EA92C0D3-1D9D-4D3C-819B-40D47E0BDC8E}"/>
    <hyperlink ref="I110" r:id="rId2" xr:uid="{0BD9001A-19DD-4BAB-A574-805B8BC4D057}"/>
    <hyperlink ref="G2" location="'Initial Screens'!B65" display="Return button" xr:uid="{C470BADD-498A-40E6-839A-021CA1C74532}"/>
    <hyperlink ref="G36" location="'Initial Screens'!B66" display="Return button" xr:uid="{29C2863B-09AA-44EA-A36D-503967A06CFF}"/>
    <hyperlink ref="G73" location="'Business impact'!B74:H107" display="worksheet 74-107" xr:uid="{22C553EC-319B-4025-83C0-EF29CDDEBA85}"/>
  </hyperlinks>
  <pageMargins left="0.7" right="0.7" top="0.75" bottom="0.75" header="0.3" footer="0.3"/>
  <pageSetup orientation="portrait" horizontalDpi="300" verticalDpi="300"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980180DC-DE88-464E-8B92-EECA35C8875A}">
          <x14:formula1>
            <xm:f>Misc!$O$120:$O$122</xm:f>
          </x14:formula1>
          <xm:sqref>C10 C68 C56 C36 C21</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4E7F-9067-4BAA-9856-3C9B18D1BAA3}">
  <sheetPr codeName="Sheet21">
    <tabColor theme="9" tint="0.59999389629810485"/>
  </sheetPr>
  <dimension ref="A2:AF117"/>
  <sheetViews>
    <sheetView showGridLines="0" topLeftCell="A96" zoomScale="70" zoomScaleNormal="70" zoomScaleSheetLayoutView="70" workbookViewId="0">
      <selection activeCell="D72" sqref="D72"/>
    </sheetView>
  </sheetViews>
  <sheetFormatPr defaultColWidth="14.44140625" defaultRowHeight="18" customHeight="1" outlineLevelRow="1" x14ac:dyDescent="0.3"/>
  <cols>
    <col min="1" max="1" width="8.77734375" bestFit="1" customWidth="1"/>
    <col min="2" max="2" width="31" customWidth="1"/>
    <col min="3" max="6" width="16.77734375" customWidth="1"/>
    <col min="7" max="7" width="17.21875" customWidth="1"/>
    <col min="8" max="8" width="15.109375" customWidth="1"/>
    <col min="9" max="9" width="14.88671875" customWidth="1"/>
    <col min="10" max="10" width="14.5546875" customWidth="1"/>
    <col min="11" max="14" width="13.33203125" customWidth="1"/>
    <col min="15" max="15" width="17" customWidth="1"/>
    <col min="16" max="16" width="21.77734375" style="1" customWidth="1"/>
    <col min="17" max="17" width="38.44140625" style="52" customWidth="1"/>
    <col min="18" max="18" width="18.44140625" customWidth="1"/>
    <col min="19" max="19" width="16.77734375" customWidth="1"/>
    <col min="20" max="20" width="38.5546875" bestFit="1" customWidth="1"/>
    <col min="21" max="21" width="15.77734375" bestFit="1" customWidth="1"/>
    <col min="27" max="27" width="30.77734375" bestFit="1" customWidth="1"/>
  </cols>
  <sheetData>
    <row r="2" spans="1:23" s="2" customFormat="1" ht="20.25" customHeight="1" x14ac:dyDescent="0.3">
      <c r="A2" s="56"/>
      <c r="B2" s="58" t="s">
        <v>241</v>
      </c>
      <c r="C2" s="58"/>
      <c r="D2" s="58"/>
      <c r="Q2" s="9"/>
      <c r="T2" s="21"/>
      <c r="W2"/>
    </row>
    <row r="3" spans="1:23" s="2" customFormat="1" ht="20.25" customHeight="1" x14ac:dyDescent="0.3">
      <c r="A3" s="56"/>
      <c r="B3" s="59">
        <f ca="1">TODAY()</f>
        <v>45982</v>
      </c>
      <c r="C3" s="59"/>
      <c r="D3" s="59"/>
      <c r="Q3" s="9"/>
      <c r="W3"/>
    </row>
    <row r="4" spans="1:23" ht="18" customHeight="1" x14ac:dyDescent="0.3">
      <c r="B4" s="1"/>
      <c r="C4" s="1"/>
      <c r="D4" s="1"/>
    </row>
    <row r="5" spans="1:23" x14ac:dyDescent="0.35">
      <c r="B5" s="24" t="s">
        <v>242</v>
      </c>
      <c r="C5" s="24"/>
      <c r="D5" s="24"/>
      <c r="E5" s="24"/>
      <c r="F5" s="24"/>
      <c r="G5" s="24"/>
      <c r="H5" s="24"/>
      <c r="I5" s="24"/>
      <c r="J5" s="24"/>
      <c r="K5" s="24"/>
      <c r="L5" s="24"/>
      <c r="M5" s="24"/>
      <c r="N5" s="24"/>
      <c r="O5" s="24"/>
    </row>
    <row r="6" spans="1:23" ht="18" customHeight="1" thickBot="1" x14ac:dyDescent="0.35"/>
    <row r="7" spans="1:23" ht="16.2" thickBot="1" x14ac:dyDescent="0.35">
      <c r="B7" s="54" t="s">
        <v>26</v>
      </c>
      <c r="C7" s="576"/>
      <c r="D7" s="576"/>
      <c r="E7" s="55"/>
      <c r="H7" s="70" t="s">
        <v>27</v>
      </c>
      <c r="I7" s="436">
        <v>0.09</v>
      </c>
      <c r="J7" s="693" t="s">
        <v>345</v>
      </c>
      <c r="Q7" s="744"/>
    </row>
    <row r="8" spans="1:23" ht="18" customHeight="1" thickBot="1" x14ac:dyDescent="0.35">
      <c r="B8" s="43" t="str">
        <f>AnalysisTerm&amp;"-Year Net Present Value (NPV)"</f>
        <v>10-Year Net Present Value (NPV)</v>
      </c>
      <c r="D8" s="583"/>
      <c r="E8" s="869">
        <f ca="1">ROUND(NPV(I7,F47:K47)+E47,0)</f>
        <v>31216461</v>
      </c>
      <c r="H8" s="70" t="s">
        <v>713</v>
      </c>
      <c r="I8" s="436">
        <f>5%</f>
        <v>0.05</v>
      </c>
      <c r="J8" s="693" t="s">
        <v>345</v>
      </c>
      <c r="Q8" s="744"/>
    </row>
    <row r="9" spans="1:23" ht="18" customHeight="1" thickBot="1" x14ac:dyDescent="0.35">
      <c r="B9" s="43" t="str">
        <f>AnalysisTerm&amp;"-Year Return on Investment (ROI)"</f>
        <v>10-Year Return on Investment (ROI)</v>
      </c>
      <c r="D9" s="583"/>
      <c r="E9" s="42">
        <f ca="1">ROUND(O47/O46,2)</f>
        <v>9.75</v>
      </c>
      <c r="H9" s="70" t="s">
        <v>714</v>
      </c>
      <c r="I9" s="436">
        <f>3%</f>
        <v>0.03</v>
      </c>
      <c r="J9" s="693" t="s">
        <v>345</v>
      </c>
      <c r="Q9" s="744"/>
    </row>
    <row r="10" spans="1:23" ht="15" thickBot="1" x14ac:dyDescent="0.35">
      <c r="B10" s="43" t="s">
        <v>28</v>
      </c>
      <c r="D10" s="583"/>
      <c r="E10" s="273" t="str">
        <f ca="1">ROUND(O115,0)&amp;" Months"</f>
        <v>12 Months</v>
      </c>
      <c r="I10" s="462" t="s">
        <v>472</v>
      </c>
      <c r="J10" s="1"/>
      <c r="K10" s="462"/>
      <c r="L10" s="462"/>
      <c r="M10" s="462"/>
      <c r="N10" s="462"/>
    </row>
    <row r="11" spans="1:23" ht="15" thickBot="1" x14ac:dyDescent="0.35">
      <c r="B11" s="41" t="s">
        <v>132</v>
      </c>
      <c r="C11" s="585"/>
      <c r="D11" s="584"/>
      <c r="E11" s="144">
        <f ca="1">E8/(AnalysisTerm*12)</f>
        <v>260137.17499999999</v>
      </c>
      <c r="I11" s="462" t="s">
        <v>736</v>
      </c>
      <c r="J11" s="462"/>
      <c r="K11" s="462"/>
      <c r="L11" s="462"/>
      <c r="M11" s="462"/>
      <c r="N11" s="462"/>
    </row>
    <row r="12" spans="1:23" ht="18" customHeight="1" thickBot="1" x14ac:dyDescent="0.35">
      <c r="E12" s="1"/>
      <c r="H12" s="61" t="str">
        <f>IF(AnalysisTerm&lt;=3,"hide column","show column")</f>
        <v>show column</v>
      </c>
      <c r="I12" s="61" t="str">
        <f>IF(AnalysisTerm&lt;=4,"hide column","show column")</f>
        <v>show column</v>
      </c>
      <c r="J12" s="61"/>
      <c r="K12" s="61"/>
      <c r="L12" s="61"/>
      <c r="M12" s="61"/>
      <c r="N12" s="61"/>
    </row>
    <row r="13" spans="1:23" ht="14.4" x14ac:dyDescent="0.3">
      <c r="B13" s="30" t="s">
        <v>31</v>
      </c>
      <c r="C13" s="577"/>
      <c r="D13" s="577"/>
      <c r="E13" s="29" t="s">
        <v>9</v>
      </c>
      <c r="F13" s="29" t="s">
        <v>10</v>
      </c>
      <c r="G13" s="29" t="s">
        <v>11</v>
      </c>
      <c r="H13" s="29" t="str">
        <f>IF(AnalysisTerm&gt;3,"Year 4","")</f>
        <v>Year 4</v>
      </c>
      <c r="I13" s="29" t="str">
        <f>IF(AnalysisTerm&gt;4,"Year 5","")</f>
        <v>Year 5</v>
      </c>
      <c r="J13" s="935">
        <f>IF(AnalysisTerm&gt;5,6,"")</f>
        <v>6</v>
      </c>
      <c r="K13" s="935">
        <f>IF(AnalysisTerm&gt;6,7,"")</f>
        <v>7</v>
      </c>
      <c r="L13" s="935">
        <f>IF(AnalysisTerm&gt;7,8,"")</f>
        <v>8</v>
      </c>
      <c r="M13" s="935">
        <f>IF(AnalysisTerm&gt;7,9,"")</f>
        <v>9</v>
      </c>
      <c r="N13" s="935">
        <f>IF(AnalysisTerm&gt;7,10,"")</f>
        <v>10</v>
      </c>
      <c r="O13" s="28" t="s">
        <v>17</v>
      </c>
    </row>
    <row r="14" spans="1:23" ht="14.4" x14ac:dyDescent="0.3">
      <c r="B14" s="22" t="s">
        <v>29</v>
      </c>
      <c r="C14" s="578"/>
      <c r="D14" s="578"/>
      <c r="E14" s="132">
        <f t="shared" ref="E14:N14" ca="1" si="0">SUM(E$21:E$31)</f>
        <v>4145663.169064967</v>
      </c>
      <c r="F14" s="132">
        <f t="shared" ca="1" si="0"/>
        <v>5136305.7762625255</v>
      </c>
      <c r="G14" s="132">
        <f t="shared" ca="1" si="0"/>
        <v>6130376.5195416901</v>
      </c>
      <c r="H14" s="132">
        <f t="shared" ca="1" si="0"/>
        <v>7258904.915476759</v>
      </c>
      <c r="I14" s="132">
        <f t="shared" ca="1" si="0"/>
        <v>8537413.9546717834</v>
      </c>
      <c r="J14" s="871">
        <f t="shared" ca="1" si="0"/>
        <v>10144328.336846305</v>
      </c>
      <c r="K14" s="871">
        <f t="shared" ca="1" si="0"/>
        <v>11819983.494178925</v>
      </c>
      <c r="L14" s="871">
        <f t="shared" ca="1" si="0"/>
        <v>13571308.784821332</v>
      </c>
      <c r="M14" s="871">
        <f t="shared" ca="1" si="0"/>
        <v>15697158.687699223</v>
      </c>
      <c r="N14" s="871">
        <f t="shared" ca="1" si="0"/>
        <v>18086367.801710308</v>
      </c>
      <c r="O14" s="970">
        <f ca="1">ROUND(SUM(E14:N14),0)</f>
        <v>100527811</v>
      </c>
    </row>
    <row r="15" spans="1:23" ht="15" thickBot="1" x14ac:dyDescent="0.35">
      <c r="B15" s="22" t="s">
        <v>170</v>
      </c>
      <c r="C15" s="578"/>
      <c r="D15" s="578"/>
      <c r="E15" s="132">
        <f>ROUND(SUM(E$37:E$41),0)</f>
        <v>2750000</v>
      </c>
      <c r="F15" s="700">
        <f t="shared" ref="F15:N15" si="1">ROUND(SUM(F$37:F$41),0)</f>
        <v>1650000</v>
      </c>
      <c r="G15" s="700">
        <f t="shared" si="1"/>
        <v>1650000</v>
      </c>
      <c r="H15" s="700">
        <f t="shared" si="1"/>
        <v>1650000</v>
      </c>
      <c r="I15" s="700">
        <f t="shared" si="1"/>
        <v>1650000</v>
      </c>
      <c r="J15" s="969">
        <f t="shared" si="1"/>
        <v>0</v>
      </c>
      <c r="K15" s="969">
        <f t="shared" si="1"/>
        <v>0</v>
      </c>
      <c r="L15" s="969">
        <f t="shared" si="1"/>
        <v>0</v>
      </c>
      <c r="M15" s="969">
        <f t="shared" si="1"/>
        <v>0</v>
      </c>
      <c r="N15" s="969">
        <f t="shared" si="1"/>
        <v>0</v>
      </c>
      <c r="O15" s="970">
        <f>ROUND(SUM(E15:N15),0)</f>
        <v>9350000</v>
      </c>
    </row>
    <row r="16" spans="1:23" ht="15" thickBot="1" x14ac:dyDescent="0.35">
      <c r="B16" s="27" t="s">
        <v>32</v>
      </c>
      <c r="C16" s="579"/>
      <c r="D16" s="579"/>
      <c r="E16" s="26">
        <f t="shared" ref="E16:O16" ca="1" si="2">ROUND(E14-E15,0)</f>
        <v>1395663</v>
      </c>
      <c r="F16" s="26">
        <f t="shared" ca="1" si="2"/>
        <v>3486306</v>
      </c>
      <c r="G16" s="26">
        <f t="shared" ca="1" si="2"/>
        <v>4480377</v>
      </c>
      <c r="H16" s="26">
        <f t="shared" ca="1" si="2"/>
        <v>5608905</v>
      </c>
      <c r="I16" s="26">
        <f t="shared" ca="1" si="2"/>
        <v>6887414</v>
      </c>
      <c r="J16" s="26">
        <f t="shared" ref="J16:K16" ca="1" si="3">ROUND(J14-J15,0)</f>
        <v>10144328</v>
      </c>
      <c r="K16" s="26">
        <f t="shared" ca="1" si="3"/>
        <v>11819983</v>
      </c>
      <c r="L16" s="26"/>
      <c r="M16" s="26"/>
      <c r="N16" s="26"/>
      <c r="O16" s="26">
        <f t="shared" ca="1" si="2"/>
        <v>91177811</v>
      </c>
    </row>
    <row r="18" spans="2:18" x14ac:dyDescent="0.35">
      <c r="B18" s="24" t="s">
        <v>243</v>
      </c>
      <c r="C18" s="24"/>
      <c r="D18" s="24"/>
      <c r="E18" s="24"/>
      <c r="F18" s="24"/>
      <c r="G18" s="24"/>
      <c r="H18" s="24"/>
      <c r="I18" s="24"/>
      <c r="J18" s="24"/>
      <c r="K18" s="24"/>
      <c r="L18" s="24"/>
      <c r="M18" s="24"/>
      <c r="N18" s="24"/>
      <c r="O18" s="24"/>
    </row>
    <row r="19" spans="2:18" ht="18" customHeight="1" thickBot="1" x14ac:dyDescent="0.35">
      <c r="F19" s="120"/>
      <c r="G19" s="120"/>
      <c r="H19" s="61" t="str">
        <f>IF(AnalysisTerm&lt;=3,"hide column","show column")</f>
        <v>show column</v>
      </c>
      <c r="I19" s="61" t="str">
        <f>IF(AnalysisTerm&lt;=4,"hide column","show column")</f>
        <v>show column</v>
      </c>
      <c r="J19" s="61" t="str">
        <f>IF(AnalysisTerm&lt;=5,"hide column","show column")</f>
        <v>show column</v>
      </c>
      <c r="K19" s="61" t="str">
        <f>IF(AnalysisTerm&lt;=5,"hide column","show column")</f>
        <v>show column</v>
      </c>
      <c r="L19" s="61"/>
      <c r="M19" s="61"/>
      <c r="N19" s="61"/>
    </row>
    <row r="20" spans="2:18" ht="15" thickBot="1" x14ac:dyDescent="0.35">
      <c r="B20" s="918" t="s">
        <v>29</v>
      </c>
      <c r="C20" s="919"/>
      <c r="D20" s="920"/>
      <c r="E20" s="442" t="s">
        <v>9</v>
      </c>
      <c r="F20" s="442" t="s">
        <v>10</v>
      </c>
      <c r="G20" s="442" t="s">
        <v>11</v>
      </c>
      <c r="H20" s="442" t="str">
        <f>IF(AnalysisTerm&gt;3,"Year 4","")</f>
        <v>Year 4</v>
      </c>
      <c r="I20" s="442" t="str">
        <f>IF(AnalysisTerm&gt;4,"Year 5","")</f>
        <v>Year 5</v>
      </c>
      <c r="J20" s="936">
        <f>$J$13</f>
        <v>6</v>
      </c>
      <c r="K20" s="936">
        <f>K$13</f>
        <v>7</v>
      </c>
      <c r="L20" s="936">
        <f>L$13</f>
        <v>8</v>
      </c>
      <c r="M20" s="936">
        <f>M$13</f>
        <v>9</v>
      </c>
      <c r="N20" s="936">
        <f>N$13</f>
        <v>10</v>
      </c>
      <c r="O20" s="443" t="s">
        <v>17</v>
      </c>
    </row>
    <row r="21" spans="2:18" ht="14.4" x14ac:dyDescent="0.3">
      <c r="B21" s="921" t="str">
        <f>'ROI Results'!B56</f>
        <v>Compute</v>
      </c>
      <c r="C21" s="922"/>
      <c r="D21" s="923"/>
      <c r="E21" s="752">
        <f>'ROI Results'!E71-'ROI Results'!E85</f>
        <v>1870202.4849999999</v>
      </c>
      <c r="F21" s="446">
        <f>'ROI Results'!F71-'ROI Results'!F85</f>
        <v>2114761.8166175005</v>
      </c>
      <c r="G21" s="446">
        <f>'ROI Results'!G71-'ROI Results'!G85</f>
        <v>2390410.4085632865</v>
      </c>
      <c r="H21" s="862">
        <f>IF(AnalysisTerm&gt;3,'ROI Results'!H71-'ROI Results'!H85,"")</f>
        <v>2700700.8393023503</v>
      </c>
      <c r="I21" s="862">
        <f>IF(AnalysisTerm&gt;3,'ROI Results'!I71-'ROI Results'!I85,"")</f>
        <v>3049561.5385476262</v>
      </c>
      <c r="J21" s="862">
        <f>IF(AnalysisTerm&gt;5,'ROI Results'!J71-'ROI Results'!J85,"")</f>
        <v>3441334.5524070016</v>
      </c>
      <c r="K21" s="862">
        <f>IF(AnalysisTerm&gt;5,'ROI Results'!K71-'ROI Results'!K85,"")</f>
        <v>3880816.9707066342</v>
      </c>
      <c r="L21" s="862">
        <f>IF(AnalysisTerm&gt;7,'ROI Results'!L71-'ROI Results'!L85,"")</f>
        <v>4373306.3626682814</v>
      </c>
      <c r="M21" s="862">
        <f>IF(AnalysisTerm&gt;7,'ROI Results'!M71-'ROI Results'!M85,"")</f>
        <v>4924650.5992232114</v>
      </c>
      <c r="N21" s="862">
        <f>IF(AnalysisTerm&gt;7,'ROI Results'!N71-'ROI Results'!N85,"")</f>
        <v>5541302.4752831813</v>
      </c>
      <c r="O21" s="141">
        <f>ROUND(SUM(E21:N21),0)</f>
        <v>34287048</v>
      </c>
    </row>
    <row r="22" spans="2:18" ht="14.4" x14ac:dyDescent="0.3">
      <c r="B22" s="912" t="str">
        <f>'ROI Results'!B57</f>
        <v>Storage</v>
      </c>
      <c r="C22" s="913"/>
      <c r="D22" s="914"/>
      <c r="E22" s="752">
        <f>'ROI Results'!E72-'ROI Results'!E86</f>
        <v>959281.49549999996</v>
      </c>
      <c r="F22" s="446">
        <f>'ROI Results'!F72-'ROI Results'!F86</f>
        <v>1061769.3978164997</v>
      </c>
      <c r="G22" s="446">
        <f>'ROI Results'!G72-'ROI Results'!G86</f>
        <v>1176505.8134884047</v>
      </c>
      <c r="H22" s="862">
        <f>IF(AnalysisTerm&gt;3,'ROI Results'!H72-'ROI Results'!H86,"")</f>
        <v>1304863.9431072215</v>
      </c>
      <c r="I22" s="862">
        <f>IF(AnalysisTerm&gt;3,'ROI Results'!I72-'ROI Results'!I86,"")</f>
        <v>1448361.1845685535</v>
      </c>
      <c r="J22" s="862">
        <f>IF(AnalysisTerm&gt;5,'ROI Results'!J72-'ROI Results'!J86,"")</f>
        <v>1608673.5677898964</v>
      </c>
      <c r="K22" s="862">
        <f>IF(AnalysisTerm&gt;5,'ROI Results'!K72-'ROI Results'!K86,"")</f>
        <v>1787651.5860438761</v>
      </c>
      <c r="L22" s="862">
        <f>IF(AnalysisTerm&gt;7,'ROI Results'!L72-'ROI Results'!L86,"")</f>
        <v>1987337.5557227279</v>
      </c>
      <c r="M22" s="862">
        <f>IF(AnalysisTerm&gt;7,'ROI Results'!M72-'ROI Results'!M86,"")</f>
        <v>2209984.6485606185</v>
      </c>
      <c r="N22" s="862">
        <f>IF(AnalysisTerm&gt;7,'ROI Results'!N72-'ROI Results'!N86,"")</f>
        <v>2458077.7536658309</v>
      </c>
      <c r="O22" s="141">
        <f t="shared" ref="O22:O31" si="4">ROUND(SUM(E22:N22),0)</f>
        <v>16002507</v>
      </c>
    </row>
    <row r="23" spans="2:18" ht="14.4" x14ac:dyDescent="0.3">
      <c r="B23" s="912" t="str">
        <f>'ROI Results'!B58</f>
        <v>Network</v>
      </c>
      <c r="C23" s="913"/>
      <c r="D23" s="914"/>
      <c r="E23" s="752">
        <f>'ROI Results'!E73-'ROI Results'!E87</f>
        <v>187432.91099999996</v>
      </c>
      <c r="F23" s="446">
        <f>'ROI Results'!F73-'ROI Results'!F87</f>
        <v>211751.63649299997</v>
      </c>
      <c r="G23" s="446">
        <f>'ROI Results'!G73-'ROI Results'!G87</f>
        <v>239155.34848826932</v>
      </c>
      <c r="H23" s="862">
        <f>IF(AnalysisTerm&gt;3,'ROI Results'!H73-'ROI Results'!H87,"")</f>
        <v>269996.3490462717</v>
      </c>
      <c r="I23" s="862">
        <f>IF(AnalysisTerm&gt;3,'ROI Results'!I73-'ROI Results'!I87,"")</f>
        <v>304664.20362118259</v>
      </c>
      <c r="J23" s="862">
        <f>IF(AnalysisTerm&gt;5,'ROI Results'!J73-'ROI Results'!J87,"")</f>
        <v>343589.48479798419</v>
      </c>
      <c r="K23" s="862">
        <f>IF(AnalysisTerm&gt;5,'ROI Results'!K73-'ROI Results'!K87,"")</f>
        <v>387247.87904240517</v>
      </c>
      <c r="L23" s="862">
        <f>IF(AnalysisTerm&gt;7,'ROI Results'!L73-'ROI Results'!L87,"")</f>
        <v>436164.69077683805</v>
      </c>
      <c r="M23" s="862">
        <f>IF(AnalysisTerm&gt;7,'ROI Results'!M73-'ROI Results'!M87,"")</f>
        <v>490919.78127749346</v>
      </c>
      <c r="N23" s="862">
        <f>IF(AnalysisTerm&gt;7,'ROI Results'!N73-'ROI Results'!N87,"")</f>
        <v>552152.98336086399</v>
      </c>
      <c r="O23" s="141">
        <f t="shared" si="4"/>
        <v>3423075</v>
      </c>
    </row>
    <row r="24" spans="2:18" ht="14.4" x14ac:dyDescent="0.3">
      <c r="B24" s="912" t="str">
        <f>'ROI Results'!B59</f>
        <v>Software</v>
      </c>
      <c r="C24" s="913"/>
      <c r="D24" s="914"/>
      <c r="E24" s="752">
        <f>'ROI Results'!E74-'ROI Results'!E88+E37</f>
        <v>361859.19999999995</v>
      </c>
      <c r="F24" s="446">
        <f>'ROI Results'!F74-'ROI Results'!F88+F37</f>
        <v>386859.19999999995</v>
      </c>
      <c r="G24" s="446">
        <f>'ROI Results'!G74-'ROI Results'!G88+G37</f>
        <v>413109.19999999995</v>
      </c>
      <c r="H24" s="862">
        <f>IF(AnalysisTerm&gt;3,'ROI Results'!H74-'ROI Results'!H88+H37,"")</f>
        <v>440671.70000000019</v>
      </c>
      <c r="I24" s="862">
        <f>IF(AnalysisTerm&gt;3,'ROI Results'!I74-'ROI Results'!I88+I37,"")</f>
        <v>469612.32499999995</v>
      </c>
      <c r="J24" s="862">
        <f>IF(AnalysisTerm&gt;5,'ROI Results'!J74-'ROI Results'!J88+J37,"")</f>
        <v>499999.98125000013</v>
      </c>
      <c r="K24" s="862">
        <f>IF(AnalysisTerm&gt;5,'ROI Results'!K74-'ROI Results'!K88+K37,"")</f>
        <v>531907.02031249995</v>
      </c>
      <c r="L24" s="862">
        <f>IF(AnalysisTerm&gt;7,'ROI Results'!L74-'ROI Results'!L88,"")</f>
        <v>565409.41132812505</v>
      </c>
      <c r="M24" s="862">
        <f>IF(AnalysisTerm&gt;7,'ROI Results'!M74-'ROI Results'!M88,"")</f>
        <v>600586.92189453123</v>
      </c>
      <c r="N24" s="862">
        <f>IF(AnalysisTerm&gt;7,'ROI Results'!N74-'ROI Results'!N88,"")</f>
        <v>637523.30798925785</v>
      </c>
      <c r="O24" s="141">
        <f t="shared" si="4"/>
        <v>4907538</v>
      </c>
    </row>
    <row r="25" spans="2:18" ht="14.4" x14ac:dyDescent="0.3">
      <c r="B25" s="912" t="str">
        <f>'ROI Results'!B60</f>
        <v>Facilities</v>
      </c>
      <c r="C25" s="913"/>
      <c r="D25" s="914"/>
      <c r="E25" s="752">
        <f>'ROI Results'!E75-'ROI Results'!E89</f>
        <v>168911.16449999949</v>
      </c>
      <c r="F25" s="446">
        <f>'ROI Results'!F75-'ROI Results'!F89</f>
        <v>365354.84881349886</v>
      </c>
      <c r="G25" s="446">
        <f>'ROI Results'!G75-'ROI Results'!G89</f>
        <v>592696.90348769957</v>
      </c>
      <c r="H25" s="862">
        <f>IF(AnalysisTerm&gt;3,'ROI Results'!H75-'ROI Results'!H89,"")</f>
        <v>854668.93482926348</v>
      </c>
      <c r="I25" s="862">
        <f>IF(AnalysisTerm&gt;3,'ROI Results'!I75-'ROI Results'!I89,"")</f>
        <v>1155405.5662723104</v>
      </c>
      <c r="J25" s="862">
        <f>IF(AnalysisTerm&gt;5,'ROI Results'!J75-'ROI Results'!J89,"")</f>
        <v>1574459.6111036148</v>
      </c>
      <c r="K25" s="862">
        <f>IF(AnalysisTerm&gt;5,'ROI Results'!K75-'ROI Results'!K89,"")</f>
        <v>1986574.4143099864</v>
      </c>
      <c r="L25" s="862">
        <f>IF(AnalysisTerm&gt;7,'ROI Results'!L75-'ROI Results'!L89,"")</f>
        <v>2455405.9760871427</v>
      </c>
      <c r="M25" s="862">
        <f>IF(AnalysisTerm&gt;7,'ROI Results'!M75-'ROI Results'!M89,"")</f>
        <v>2987461.7585305255</v>
      </c>
      <c r="N25" s="862">
        <f>IF(AnalysisTerm&gt;7,'ROI Results'!N75-'ROI Results'!N89,"")</f>
        <v>3589933.2131675156</v>
      </c>
      <c r="O25" s="141">
        <f t="shared" si="4"/>
        <v>15730872</v>
      </c>
    </row>
    <row r="26" spans="2:18" ht="14.4" x14ac:dyDescent="0.3">
      <c r="B26" s="912" t="str">
        <f>'ROI Results'!B61</f>
        <v>Labor</v>
      </c>
      <c r="C26" s="913"/>
      <c r="D26" s="914"/>
      <c r="E26" s="752">
        <f ca="1">'ROI Results'!E76-'ROI Results'!E90</f>
        <v>215210.28806496877</v>
      </c>
      <c r="F26" s="446">
        <f ca="1">'ROI Results'!F76-'ROI Results'!F90</f>
        <v>465499.85308452696</v>
      </c>
      <c r="G26" s="446">
        <f ca="1">'ROI Results'!G76-'ROI Results'!G90</f>
        <v>755157.13666637335</v>
      </c>
      <c r="H26" s="862">
        <f ca="1">IF(AnalysisTerm&gt;3,'ROI Results'!H76-'ROI Results'!H90,"")</f>
        <v>1088936.5910729123</v>
      </c>
      <c r="I26" s="862">
        <f ca="1">IF(AnalysisTerm&gt;3,'ROI Results'!I76-'ROI Results'!I90,"")</f>
        <v>1472106.1540566934</v>
      </c>
      <c r="J26" s="862">
        <f ca="1">IF(AnalysisTerm&gt;5,'ROI Results'!J76-'ROI Results'!J90,"")</f>
        <v>2006024.3350715134</v>
      </c>
      <c r="K26" s="862">
        <f ca="1">IF(AnalysisTerm&gt;5,'ROI Results'!K76-'ROI Results'!K90,"")</f>
        <v>2531101.2047764836</v>
      </c>
      <c r="L26" s="862">
        <f ca="1">IF(AnalysisTerm&gt;7,'ROI Results'!L76-'ROI Results'!L90,"")</f>
        <v>3128441.0891037332</v>
      </c>
      <c r="M26" s="862">
        <f ca="1">IF(AnalysisTerm&gt;7,'ROI Results'!M76-'ROI Results'!M90,"")</f>
        <v>3806335.1675988995</v>
      </c>
      <c r="N26" s="862">
        <f ca="1">IF(AnalysisTerm&gt;7,'ROI Results'!N76-'ROI Results'!N90,"")</f>
        <v>4573946.093064677</v>
      </c>
      <c r="O26" s="141">
        <f t="shared" ca="1" si="4"/>
        <v>20042758</v>
      </c>
    </row>
    <row r="27" spans="2:18" ht="14.4" x14ac:dyDescent="0.3">
      <c r="B27" s="912" t="str">
        <f>'ROI Results'!B62</f>
        <v>Support</v>
      </c>
      <c r="C27" s="913"/>
      <c r="D27" s="914"/>
      <c r="E27" s="752">
        <f>'ROI Results'!E77</f>
        <v>125000</v>
      </c>
      <c r="F27" s="446">
        <f>'ROI Results'!F77</f>
        <v>125000</v>
      </c>
      <c r="G27" s="446">
        <f>'ROI Results'!G77</f>
        <v>125000</v>
      </c>
      <c r="H27" s="862">
        <f>IF(AnalysisTerm&gt;3,'ROI Results'!H77,"")</f>
        <v>125000</v>
      </c>
      <c r="I27" s="862">
        <f>IF(AnalysisTerm&gt;3,'ROI Results'!I77,"")</f>
        <v>125000</v>
      </c>
      <c r="J27" s="862">
        <f>IF(AnalysisTerm&gt;5,'ROI Results'!J77,"")</f>
        <v>125000</v>
      </c>
      <c r="K27" s="862">
        <f>IF(AnalysisTerm&gt;5,'ROI Results'!K77,"")</f>
        <v>125000</v>
      </c>
      <c r="L27" s="862">
        <f>IF(AnalysisTerm&gt;7,'ROI Results'!L77-'ROI Results'!L91,"")</f>
        <v>-12500</v>
      </c>
      <c r="M27" s="862">
        <f>IF(AnalysisTerm&gt;7,'ROI Results'!M77-'ROI Results'!M91,"")</f>
        <v>-12500</v>
      </c>
      <c r="N27" s="862">
        <f>IF(AnalysisTerm&gt;7,'ROI Results'!N77-'ROI Results'!N91,"")</f>
        <v>-12500</v>
      </c>
      <c r="O27" s="141">
        <f t="shared" si="4"/>
        <v>837500</v>
      </c>
    </row>
    <row r="28" spans="2:18" ht="14.4" x14ac:dyDescent="0.3">
      <c r="B28" s="912" t="str">
        <f>'ROI Results'!B63</f>
        <v>Migration</v>
      </c>
      <c r="C28" s="913"/>
      <c r="D28" s="914"/>
      <c r="E28" s="752">
        <f ca="1">'ROI Results'!E78-IF('Migration - Reskilling'!$F$14&gt;$O$38,'ROI Results'!E92,0)</f>
        <v>374765.62499999994</v>
      </c>
      <c r="F28" s="752">
        <f ca="1">'ROI Results'!F78-IF('Migration - Reskilling'!$F$14&gt;$O$38,'ROI Results'!F92,0)</f>
        <v>405309.0234375</v>
      </c>
      <c r="G28" s="752">
        <f ca="1">'ROI Results'!G78-IF('Migration - Reskilling'!$F$14&gt;$O$38,'ROI Results'!G92,0)</f>
        <v>438341.70884765626</v>
      </c>
      <c r="H28" s="863">
        <f ca="1">IF(AnalysisTerm&gt;3,'ROI Results'!H78-IF('Migration - Reskilling'!$F$14&gt;$O$38,'ROI Results'!H92,0),"")</f>
        <v>474066.55811874027</v>
      </c>
      <c r="I28" s="863">
        <f ca="1">IF(AnalysisTerm&gt;3,'ROI Results'!I78-IF('Migration - Reskilling'!$F$14&gt;$O$38,'ROI Results'!I92,0),"")</f>
        <v>512702.98260541749</v>
      </c>
      <c r="J28" s="863">
        <f ca="1">IF(AnalysisTerm&gt;5,'ROI Results'!J78-IF('Migration - Reskilling'!$F$14&gt;$O$38,'ROI Results'!J92,0),"")</f>
        <v>545246.80442629638</v>
      </c>
      <c r="K28" s="863">
        <f ca="1">IF(AnalysisTerm&gt;5,'ROI Results'!K78-IF('Migration - Reskilling'!$F$14&gt;$O$38,'ROI Results'!K92,0),"")</f>
        <v>589684.41898703936</v>
      </c>
      <c r="L28" s="862">
        <f ca="1">IF(AnalysisTerm&gt;7,'ROI Results'!L78-'ROI Results'!L92,"")</f>
        <v>637743.69913448323</v>
      </c>
      <c r="M28" s="862">
        <f ca="1">IF(AnalysisTerm&gt;7,'ROI Results'!M78-'ROI Results'!M92,"")</f>
        <v>689719.8106139435</v>
      </c>
      <c r="N28" s="862">
        <f ca="1">IF(AnalysisTerm&gt;7,'ROI Results'!N78-'ROI Results'!N92,"")</f>
        <v>745931.97517898004</v>
      </c>
      <c r="O28" s="141">
        <f t="shared" ca="1" si="4"/>
        <v>5413513</v>
      </c>
    </row>
    <row r="29" spans="2:18" ht="14.4" x14ac:dyDescent="0.3">
      <c r="B29" s="912" t="str">
        <f>'ROI Results'!B64</f>
        <v>One-time Reskilling</v>
      </c>
      <c r="C29" s="913"/>
      <c r="D29" s="914"/>
      <c r="E29" s="752">
        <f ca="1">'ROI Results'!E79-IF('Migration - Reskilling'!$F$29&gt;$O$39,'ROI Results'!E93,0)</f>
        <v>-117000</v>
      </c>
      <c r="F29" s="752">
        <f ca="1">'ROI Results'!F79-IF('Migration - Reskilling'!$F$29&gt;$O$39,'ROI Results'!F93,0)</f>
        <v>0</v>
      </c>
      <c r="G29" s="752">
        <f ca="1">'ROI Results'!G79-IF('Migration - Reskilling'!$F$29&gt;$O$39,'ROI Results'!G93,0)</f>
        <v>0</v>
      </c>
      <c r="H29" s="863">
        <f ca="1">IF(AnalysisTerm&gt;3,'ROI Results'!H79-IF('Migration - Reskilling'!$F$29&gt;$O$39,'ROI Results'!H93,0),"")</f>
        <v>0</v>
      </c>
      <c r="I29" s="863">
        <f ca="1">IF(AnalysisTerm&gt;3,'ROI Results'!I79-IF('Migration - Reskilling'!$F$29&gt;$O$39,'ROI Results'!I93,0),"")</f>
        <v>0</v>
      </c>
      <c r="J29" s="863">
        <f ca="1">IF(AnalysisTerm&gt;5,'ROI Results'!J79-IF('Migration - Reskilling'!$F$29&gt;$O$39,'ROI Results'!J93,0),"")</f>
        <v>0</v>
      </c>
      <c r="K29" s="863">
        <f ca="1">IF(AnalysisTerm&gt;5,'ROI Results'!K79-IF('Migration - Reskilling'!$F$29&gt;$O$39,'ROI Results'!K93,0),"")</f>
        <v>0</v>
      </c>
      <c r="L29" s="862">
        <f ca="1">IF(AnalysisTerm&gt;7,'ROI Results'!L79-'ROI Results'!L93,"")</f>
        <v>0</v>
      </c>
      <c r="M29" s="862">
        <f ca="1">IF(AnalysisTerm&gt;7,'ROI Results'!M79-'ROI Results'!M93,"")</f>
        <v>0</v>
      </c>
      <c r="N29" s="862">
        <f ca="1">IF(AnalysisTerm&gt;7,'ROI Results'!N79-'ROI Results'!N93,"")</f>
        <v>0</v>
      </c>
      <c r="O29" s="141">
        <f t="shared" ca="1" si="4"/>
        <v>-117000</v>
      </c>
    </row>
    <row r="30" spans="2:18" ht="15.6" x14ac:dyDescent="0.3">
      <c r="B30" s="912" t="str">
        <f>'ROI Results'!B65</f>
        <v>Revenue Impact</v>
      </c>
      <c r="C30" s="913"/>
      <c r="D30" s="914"/>
      <c r="E30" s="752">
        <f>'ROI Results'!E94</f>
        <v>0</v>
      </c>
      <c r="F30" s="446">
        <f>'ROI Results'!F94</f>
        <v>0</v>
      </c>
      <c r="G30" s="446">
        <f>'ROI Results'!G94</f>
        <v>0</v>
      </c>
      <c r="H30" s="862">
        <f>'ROI Results'!H94</f>
        <v>0</v>
      </c>
      <c r="I30" s="862">
        <f>'ROI Results'!I94</f>
        <v>0</v>
      </c>
      <c r="J30" s="862">
        <f>'ROI Results'!J94</f>
        <v>0</v>
      </c>
      <c r="K30" s="862">
        <f>'ROI Results'!K94</f>
        <v>0</v>
      </c>
      <c r="L30" s="862">
        <f>'ROI Results'!L94</f>
        <v>0</v>
      </c>
      <c r="M30" s="862">
        <f>'ROI Results'!M94</f>
        <v>0</v>
      </c>
      <c r="N30" s="862">
        <f>'ROI Results'!N94</f>
        <v>0</v>
      </c>
      <c r="O30" s="141">
        <f t="shared" si="4"/>
        <v>0</v>
      </c>
      <c r="Q30" s="672" t="s">
        <v>727</v>
      </c>
      <c r="R30" s="1"/>
    </row>
    <row r="31" spans="2:18" ht="16.2" thickBot="1" x14ac:dyDescent="0.35">
      <c r="B31" s="924" t="str">
        <f>'ROI Results'!B66</f>
        <v>Risk Reduction</v>
      </c>
      <c r="C31" s="925"/>
      <c r="D31" s="926"/>
      <c r="E31" s="752">
        <f ca="1">'ROI Results'!E95</f>
        <v>0</v>
      </c>
      <c r="F31" s="446">
        <f ca="1">'ROI Results'!F95</f>
        <v>0</v>
      </c>
      <c r="G31" s="446">
        <f ca="1">'ROI Results'!G95</f>
        <v>0</v>
      </c>
      <c r="H31" s="862">
        <f ca="1">'ROI Results'!H95</f>
        <v>0</v>
      </c>
      <c r="I31" s="862">
        <f ca="1">'ROI Results'!I95</f>
        <v>0</v>
      </c>
      <c r="J31" s="862">
        <f ca="1">'ROI Results'!J95</f>
        <v>0</v>
      </c>
      <c r="K31" s="862">
        <f ca="1">'ROI Results'!K95</f>
        <v>0</v>
      </c>
      <c r="L31" s="862">
        <f ca="1">'ROI Results'!L95</f>
        <v>0</v>
      </c>
      <c r="M31" s="862">
        <f ca="1">'ROI Results'!M95</f>
        <v>0</v>
      </c>
      <c r="N31" s="862">
        <f ca="1">'ROI Results'!N95</f>
        <v>0</v>
      </c>
      <c r="O31" s="141">
        <f t="shared" ca="1" si="4"/>
        <v>0</v>
      </c>
      <c r="Q31" s="672" t="s">
        <v>728</v>
      </c>
      <c r="R31" s="1"/>
    </row>
    <row r="32" spans="2:18" ht="15" thickBot="1" x14ac:dyDescent="0.35">
      <c r="B32" s="586" t="s">
        <v>33</v>
      </c>
      <c r="C32" s="587"/>
      <c r="D32" s="587"/>
      <c r="E32" s="39">
        <f t="shared" ref="E32:N32" ca="1" si="5">ROUND(SUM(E21:E31),0)</f>
        <v>4145663</v>
      </c>
      <c r="F32" s="39">
        <f t="shared" ca="1" si="5"/>
        <v>5136306</v>
      </c>
      <c r="G32" s="39">
        <f t="shared" ca="1" si="5"/>
        <v>6130377</v>
      </c>
      <c r="H32" s="39">
        <f t="shared" ca="1" si="5"/>
        <v>7258905</v>
      </c>
      <c r="I32" s="39">
        <f t="shared" ca="1" si="5"/>
        <v>8537414</v>
      </c>
      <c r="J32" s="39">
        <f t="shared" ca="1" si="5"/>
        <v>10144328</v>
      </c>
      <c r="K32" s="39">
        <f t="shared" ca="1" si="5"/>
        <v>11819983</v>
      </c>
      <c r="L32" s="39">
        <f t="shared" ca="1" si="5"/>
        <v>13571309</v>
      </c>
      <c r="M32" s="39">
        <f t="shared" ca="1" si="5"/>
        <v>15697159</v>
      </c>
      <c r="N32" s="39">
        <f t="shared" ca="1" si="5"/>
        <v>18086368</v>
      </c>
      <c r="O32" s="38">
        <f ca="1">SUM(O21:O31)</f>
        <v>100527811</v>
      </c>
    </row>
    <row r="33" spans="1:24" ht="14.4" x14ac:dyDescent="0.3">
      <c r="B33" s="37"/>
      <c r="C33" s="37"/>
      <c r="D33" s="37"/>
    </row>
    <row r="34" spans="1:24" s="95" customFormat="1" ht="15.6" x14ac:dyDescent="0.3">
      <c r="A34"/>
      <c r="B34" s="281" t="str">
        <f>"Estimated VCF discount (to be used in competitive comparison)"</f>
        <v>Estimated VCF discount (to be used in competitive comparison)</v>
      </c>
      <c r="C34" s="281"/>
      <c r="D34" s="281"/>
      <c r="E34" s="281"/>
      <c r="F34" s="574">
        <v>0.25</v>
      </c>
      <c r="G34" s="575" t="s">
        <v>345</v>
      </c>
      <c r="H34"/>
      <c r="P34" s="1" t="s">
        <v>620</v>
      </c>
      <c r="V34" s="197"/>
    </row>
    <row r="35" spans="1:24" ht="15" thickBot="1" x14ac:dyDescent="0.35">
      <c r="B35" s="37"/>
      <c r="C35" s="37"/>
      <c r="D35" s="37"/>
      <c r="E35" s="37"/>
      <c r="F35" s="37"/>
      <c r="H35" s="61" t="str">
        <f>IF(AnalysisTerm&lt;=3,"hide column","show column")</f>
        <v>show column</v>
      </c>
      <c r="I35" s="61" t="str">
        <f>IF(AnalysisTerm&lt;=4,"hide column","show column")</f>
        <v>show column</v>
      </c>
      <c r="J35" s="824" t="str">
        <f>IF(AnalysisTerm&lt;=5,"hide column","show column")</f>
        <v>show column</v>
      </c>
      <c r="K35" s="824" t="str">
        <f>IF(AnalysisTerm&lt;=5,"hide column","show column")</f>
        <v>show column</v>
      </c>
      <c r="L35" s="824" t="str">
        <f>IF(AnalysisTerm&lt;=7,"hide column","show column")</f>
        <v>show column</v>
      </c>
      <c r="M35" s="824" t="str">
        <f>IF(AnalysisTerm&lt;=7,"hide column","show column")</f>
        <v>show column</v>
      </c>
      <c r="N35" s="824" t="str">
        <f>IF(AnalysisTerm&lt;=7,"hide column","show column")</f>
        <v>show column</v>
      </c>
      <c r="P35"/>
      <c r="Q35"/>
      <c r="R35" s="1"/>
      <c r="S35" s="52"/>
    </row>
    <row r="36" spans="1:24" ht="15" thickBot="1" x14ac:dyDescent="0.35">
      <c r="B36" s="927" t="str">
        <f>InvestmentBVA!B9</f>
        <v xml:space="preserve">Estimated Investment </v>
      </c>
      <c r="C36" s="928"/>
      <c r="D36" s="929"/>
      <c r="E36" s="444" t="s">
        <v>9</v>
      </c>
      <c r="F36" s="444" t="s">
        <v>10</v>
      </c>
      <c r="G36" s="444" t="s">
        <v>11</v>
      </c>
      <c r="H36" s="444" t="str">
        <f>IF(AnalysisTerm&gt;3,"Year 4","")</f>
        <v>Year 4</v>
      </c>
      <c r="I36" s="444" t="str">
        <f>IF(AnalysisTerm&gt;4,"Year 5","")</f>
        <v>Year 5</v>
      </c>
      <c r="J36" s="937">
        <f>$J$13</f>
        <v>6</v>
      </c>
      <c r="K36" s="937">
        <f>K$13</f>
        <v>7</v>
      </c>
      <c r="L36" s="937">
        <f t="shared" ref="L36:N36" si="6">L$13</f>
        <v>8</v>
      </c>
      <c r="M36" s="937">
        <f t="shared" si="6"/>
        <v>9</v>
      </c>
      <c r="N36" s="937">
        <f t="shared" si="6"/>
        <v>10</v>
      </c>
      <c r="O36" s="445" t="s">
        <v>17</v>
      </c>
      <c r="T36" s="53"/>
      <c r="U36" s="53"/>
      <c r="V36" s="53"/>
      <c r="W36" s="53"/>
      <c r="X36" s="53"/>
    </row>
    <row r="37" spans="1:24" ht="15.6" x14ac:dyDescent="0.3">
      <c r="A37" s="726" t="s">
        <v>345</v>
      </c>
      <c r="B37" s="912" t="s">
        <v>18</v>
      </c>
      <c r="C37" s="913"/>
      <c r="D37" s="914"/>
      <c r="E37" s="268">
        <v>1500000</v>
      </c>
      <c r="F37" s="268">
        <v>1500000</v>
      </c>
      <c r="G37" s="268">
        <v>1500000</v>
      </c>
      <c r="H37" s="268">
        <v>1500000</v>
      </c>
      <c r="I37" s="268">
        <v>1500000</v>
      </c>
      <c r="J37" s="871"/>
      <c r="K37" s="871"/>
      <c r="L37" s="871"/>
      <c r="M37" s="871"/>
      <c r="N37" s="871"/>
      <c r="O37" s="870">
        <f>ROUND(SUM(E37:N37),0)</f>
        <v>7500000</v>
      </c>
      <c r="Q37" s="492" t="s">
        <v>500</v>
      </c>
      <c r="R37" s="492"/>
      <c r="S37" s="492"/>
      <c r="T37" s="53"/>
      <c r="U37" s="53"/>
      <c r="V37" s="53"/>
      <c r="W37" s="53"/>
      <c r="X37" s="53"/>
    </row>
    <row r="38" spans="1:24" ht="14.4" x14ac:dyDescent="0.3">
      <c r="B38" s="912" t="s">
        <v>20</v>
      </c>
      <c r="C38" s="913"/>
      <c r="D38" s="914"/>
      <c r="E38" s="268">
        <v>1000000</v>
      </c>
      <c r="F38" s="268"/>
      <c r="G38" s="268"/>
      <c r="H38" s="268"/>
      <c r="I38" s="268"/>
      <c r="J38" s="871"/>
      <c r="K38" s="871"/>
      <c r="L38" s="871"/>
      <c r="M38" s="871"/>
      <c r="N38" s="871"/>
      <c r="O38" s="870">
        <f t="shared" ref="O38:O41" si="7">ROUND(SUM(E38:N38),0)</f>
        <v>1000000</v>
      </c>
      <c r="T38" s="53"/>
      <c r="U38" s="53"/>
      <c r="V38" s="53"/>
      <c r="W38" s="53"/>
      <c r="X38" s="53"/>
    </row>
    <row r="39" spans="1:24" ht="14.4" x14ac:dyDescent="0.3">
      <c r="B39" s="912" t="s">
        <v>21</v>
      </c>
      <c r="C39" s="913"/>
      <c r="D39" s="914"/>
      <c r="E39" s="268">
        <v>100000</v>
      </c>
      <c r="F39" s="268"/>
      <c r="G39" s="268"/>
      <c r="H39" s="268"/>
      <c r="I39" s="268"/>
      <c r="J39" s="871"/>
      <c r="K39" s="871"/>
      <c r="L39" s="871"/>
      <c r="M39" s="871"/>
      <c r="N39" s="871"/>
      <c r="O39" s="870">
        <f t="shared" si="7"/>
        <v>100000</v>
      </c>
      <c r="T39" s="53"/>
      <c r="U39" s="53"/>
      <c r="V39" s="53"/>
      <c r="W39" s="53"/>
      <c r="X39" s="53"/>
    </row>
    <row r="40" spans="1:24" ht="14.4" x14ac:dyDescent="0.3">
      <c r="B40" s="912" t="s">
        <v>244</v>
      </c>
      <c r="C40" s="913"/>
      <c r="D40" s="914"/>
      <c r="E40" s="268">
        <v>150000</v>
      </c>
      <c r="F40" s="268">
        <v>150000</v>
      </c>
      <c r="G40" s="268">
        <v>150000</v>
      </c>
      <c r="H40" s="268">
        <v>150000</v>
      </c>
      <c r="I40" s="268">
        <v>150000</v>
      </c>
      <c r="J40" s="871"/>
      <c r="K40" s="871"/>
      <c r="L40" s="871"/>
      <c r="M40" s="871"/>
      <c r="N40" s="871"/>
      <c r="O40" s="870">
        <f t="shared" si="7"/>
        <v>750000</v>
      </c>
      <c r="T40" s="53"/>
      <c r="U40" s="53"/>
      <c r="V40" s="53"/>
      <c r="W40" s="53"/>
      <c r="X40" s="53"/>
    </row>
    <row r="41" spans="1:24" ht="16.2" thickBot="1" x14ac:dyDescent="0.35">
      <c r="A41" s="715" t="s">
        <v>570</v>
      </c>
      <c r="B41" s="912" t="s">
        <v>4</v>
      </c>
      <c r="C41" s="913"/>
      <c r="D41" s="914"/>
      <c r="E41" s="268"/>
      <c r="F41" s="268"/>
      <c r="G41" s="268"/>
      <c r="H41" s="268"/>
      <c r="I41" s="268"/>
      <c r="J41" s="871"/>
      <c r="K41" s="871"/>
      <c r="L41" s="871"/>
      <c r="M41" s="871"/>
      <c r="N41" s="871"/>
      <c r="O41" s="870">
        <f t="shared" si="7"/>
        <v>0</v>
      </c>
      <c r="T41" s="53"/>
      <c r="U41" s="53"/>
      <c r="V41" s="53"/>
      <c r="W41" s="53"/>
      <c r="X41" s="53"/>
    </row>
    <row r="42" spans="1:24" ht="15" thickBot="1" x14ac:dyDescent="0.35">
      <c r="B42" s="33" t="s">
        <v>25</v>
      </c>
      <c r="C42" s="580"/>
      <c r="D42" s="580"/>
      <c r="E42" s="32">
        <f>SUM(E37:E41)</f>
        <v>2750000</v>
      </c>
      <c r="F42" s="32">
        <f>SUM(F37:F41)</f>
        <v>1650000</v>
      </c>
      <c r="G42" s="32">
        <f>SUM(G37:G41)</f>
        <v>1650000</v>
      </c>
      <c r="H42" s="32">
        <f>IF(AnalysisTerm&gt;3,SUM(H37:H41),0)</f>
        <v>1650000</v>
      </c>
      <c r="I42" s="32">
        <f>IF(AnalysisTerm&gt;4,SUM(I37:I41),0)</f>
        <v>1650000</v>
      </c>
      <c r="J42" s="872">
        <f>IF(AnalysisTerm&gt;5,SUM(J37:J41),0)</f>
        <v>0</v>
      </c>
      <c r="K42" s="872">
        <f>IF(AnalysisTerm&gt;6,SUM(K37:K41),0)</f>
        <v>0</v>
      </c>
      <c r="L42" s="872">
        <f>IF(AnalysisTerm&gt;6,SUM(L37:L41),0)</f>
        <v>0</v>
      </c>
      <c r="M42" s="872">
        <f>IF(AnalysisTerm&gt;6,SUM(M37:M41),0)</f>
        <v>0</v>
      </c>
      <c r="N42" s="872">
        <f>IF(AnalysisTerm&gt;6,SUM(N37:N41),0)</f>
        <v>0</v>
      </c>
      <c r="O42" s="31">
        <f>SUM(O37:O41)</f>
        <v>9350000</v>
      </c>
    </row>
    <row r="43" spans="1:24" ht="18" customHeight="1" thickBot="1" x14ac:dyDescent="0.35">
      <c r="H43" s="61" t="str">
        <f>IF(AnalysisTerm&lt;=3,"hide column","show column")</f>
        <v>show column</v>
      </c>
      <c r="I43" s="61" t="str">
        <f>IF(AnalysisTerm&lt;=4,"hide column","show column")</f>
        <v>show column</v>
      </c>
      <c r="J43" s="61" t="str">
        <f>IF(AnalysisTerm&lt;=5,"hide column","show column")</f>
        <v>show column</v>
      </c>
      <c r="K43" s="61" t="str">
        <f>IF(AnalysisTerm&lt;=5,"hide column","show column")</f>
        <v>show column</v>
      </c>
      <c r="L43" s="61" t="str">
        <f>$L$35</f>
        <v>show column</v>
      </c>
      <c r="M43" s="61" t="str">
        <f>$L$35</f>
        <v>show column</v>
      </c>
      <c r="N43" s="61" t="str">
        <f>$L$35</f>
        <v>show column</v>
      </c>
    </row>
    <row r="44" spans="1:24" ht="15" thickBot="1" x14ac:dyDescent="0.35">
      <c r="B44" s="447" t="s">
        <v>31</v>
      </c>
      <c r="C44" s="581"/>
      <c r="D44" s="581"/>
      <c r="E44" s="448" t="s">
        <v>9</v>
      </c>
      <c r="F44" s="448" t="s">
        <v>10</v>
      </c>
      <c r="G44" s="448" t="s">
        <v>11</v>
      </c>
      <c r="H44" s="448" t="str">
        <f>IF(AnalysisTerm&gt;3,"Year 4","")</f>
        <v>Year 4</v>
      </c>
      <c r="I44" s="448" t="str">
        <f>IF(AnalysisTerm&gt;4,"Year 5","")</f>
        <v>Year 5</v>
      </c>
      <c r="J44" s="938">
        <f>$J$13</f>
        <v>6</v>
      </c>
      <c r="K44" s="938">
        <f>K$13</f>
        <v>7</v>
      </c>
      <c r="L44" s="938">
        <f t="shared" ref="L44:N44" si="8">L$13</f>
        <v>8</v>
      </c>
      <c r="M44" s="938">
        <f t="shared" si="8"/>
        <v>9</v>
      </c>
      <c r="N44" s="938">
        <f t="shared" si="8"/>
        <v>10</v>
      </c>
      <c r="O44" s="449" t="s">
        <v>17</v>
      </c>
    </row>
    <row r="45" spans="1:24" ht="14.4" x14ac:dyDescent="0.3">
      <c r="B45" s="912" t="str">
        <f>B20</f>
        <v>Gross Benefits</v>
      </c>
      <c r="C45" s="913"/>
      <c r="D45" s="914"/>
      <c r="E45" s="446">
        <f ca="1">E32</f>
        <v>4145663</v>
      </c>
      <c r="F45" s="446">
        <f ca="1">F32</f>
        <v>5136306</v>
      </c>
      <c r="G45" s="446">
        <f ca="1">G32</f>
        <v>6130377</v>
      </c>
      <c r="H45" s="446">
        <f ca="1">IF(AnalysisTerm&gt;3,H32,0)</f>
        <v>7258905</v>
      </c>
      <c r="I45" s="446">
        <f ca="1">IF(AnalysisTerm&gt;4,I32,0)</f>
        <v>8537414</v>
      </c>
      <c r="J45" s="862">
        <f ca="1">IF(AnalysisTerm&gt;5,J32,0)</f>
        <v>10144328</v>
      </c>
      <c r="K45" s="862">
        <f ca="1">IF(AnalysisTerm&gt;6,K32,0)</f>
        <v>11819983</v>
      </c>
      <c r="L45" s="862">
        <f ca="1">IF(AnalysisTerm&gt;7,L32,0)</f>
        <v>13571309</v>
      </c>
      <c r="M45" s="862">
        <f ca="1">IF(AnalysisTerm&gt;7,M32,0)</f>
        <v>15697159</v>
      </c>
      <c r="N45" s="862">
        <f ca="1">IF(AnalysisTerm&gt;7,N32,0)</f>
        <v>18086368</v>
      </c>
      <c r="O45" s="141">
        <f ca="1">SUM(E45:N45)</f>
        <v>100527812</v>
      </c>
    </row>
    <row r="46" spans="1:24" ht="15" thickBot="1" x14ac:dyDescent="0.35">
      <c r="B46" s="912" t="str">
        <f>B36</f>
        <v xml:space="preserve">Estimated Investment </v>
      </c>
      <c r="C46" s="913"/>
      <c r="D46" s="914"/>
      <c r="E46" s="132">
        <f>E42</f>
        <v>2750000</v>
      </c>
      <c r="F46" s="132">
        <f>F42</f>
        <v>1650000</v>
      </c>
      <c r="G46" s="132">
        <f>G42</f>
        <v>1650000</v>
      </c>
      <c r="H46" s="132">
        <f>IF(AnalysisTerm&gt;3,H42,0)</f>
        <v>1650000</v>
      </c>
      <c r="I46" s="132">
        <f>IF(AnalysisTerm&gt;4,I42,0)</f>
        <v>1650000</v>
      </c>
      <c r="J46" s="871">
        <f>IF(AnalysisTerm&gt;5,J42,0)</f>
        <v>0</v>
      </c>
      <c r="K46" s="871">
        <f>IF(AnalysisTerm&gt;6,K42,0)</f>
        <v>0</v>
      </c>
      <c r="L46" s="871">
        <f>IF(AnalysisTerm&gt;6,L42,0)</f>
        <v>0</v>
      </c>
      <c r="M46" s="871">
        <f>IF(AnalysisTerm&gt;6,M42,0)</f>
        <v>0</v>
      </c>
      <c r="N46" s="871">
        <f>IF(AnalysisTerm&gt;6,N42,0)</f>
        <v>0</v>
      </c>
      <c r="O46" s="141">
        <f>SUM(E46:N46)</f>
        <v>9350000</v>
      </c>
    </row>
    <row r="47" spans="1:24" ht="15" thickBot="1" x14ac:dyDescent="0.35">
      <c r="B47" s="27" t="s">
        <v>32</v>
      </c>
      <c r="C47" s="579"/>
      <c r="D47" s="579"/>
      <c r="E47" s="26">
        <f ca="1">E45-E46</f>
        <v>1395663</v>
      </c>
      <c r="F47" s="26">
        <f ca="1">F45-F46</f>
        <v>3486306</v>
      </c>
      <c r="G47" s="26">
        <f ca="1">G45-G46</f>
        <v>4480377</v>
      </c>
      <c r="H47" s="26">
        <f ca="1">IF(AnalysisTerm&gt;3,H45-H46,"")</f>
        <v>5608905</v>
      </c>
      <c r="I47" s="26">
        <f ca="1">IF(AnalysisTerm&gt;4,I45-I46,"")</f>
        <v>6887414</v>
      </c>
      <c r="J47" s="26">
        <f ca="1">IF(AnalysisTerm&gt;5,J45-J46,"")</f>
        <v>10144328</v>
      </c>
      <c r="K47" s="26">
        <f ca="1">IF(AnalysisTerm&gt;6,K45-K46,"")</f>
        <v>11819983</v>
      </c>
      <c r="L47" s="26">
        <f ca="1">IF(AnalysisTerm&gt;6,L45-L46,"")</f>
        <v>13571309</v>
      </c>
      <c r="M47" s="26">
        <f ca="1">IF(AnalysisTerm&gt;6,M45-M46,"")</f>
        <v>15697159</v>
      </c>
      <c r="N47" s="26">
        <f ca="1">IF(AnalysisTerm&gt;6,N45-N46,"")</f>
        <v>18086368</v>
      </c>
      <c r="O47" s="25">
        <f ca="1">O45-O46</f>
        <v>91177812</v>
      </c>
    </row>
    <row r="48" spans="1:24" ht="38.4" customHeight="1" x14ac:dyDescent="0.3">
      <c r="B48" s="915" t="s">
        <v>34</v>
      </c>
      <c r="C48" s="916"/>
      <c r="D48" s="916"/>
      <c r="E48" s="916"/>
      <c r="F48" s="916"/>
      <c r="G48" s="916"/>
      <c r="H48" s="916"/>
      <c r="I48" s="916"/>
      <c r="J48" s="916"/>
      <c r="K48" s="916"/>
      <c r="L48" s="916"/>
      <c r="M48" s="916"/>
      <c r="N48" s="916"/>
      <c r="O48" s="917"/>
    </row>
    <row r="49" spans="1:26" ht="30" customHeight="1" x14ac:dyDescent="0.3"/>
    <row r="50" spans="1:26" ht="18" customHeight="1" thickBot="1" x14ac:dyDescent="0.35"/>
    <row r="51" spans="1:26" ht="18" customHeight="1" thickBot="1" x14ac:dyDescent="0.35">
      <c r="A51" s="206"/>
      <c r="B51" s="467" t="s">
        <v>428</v>
      </c>
      <c r="C51" s="468"/>
      <c r="D51" s="468"/>
      <c r="E51" s="468"/>
      <c r="F51" s="468"/>
      <c r="G51" s="468"/>
      <c r="H51" s="468"/>
      <c r="I51" s="468"/>
      <c r="J51" s="468"/>
      <c r="K51" s="468"/>
      <c r="L51" s="468"/>
      <c r="M51" s="468"/>
      <c r="N51" s="468"/>
      <c r="O51" s="468"/>
    </row>
    <row r="52" spans="1:26" s="133" customFormat="1" ht="30" customHeight="1" x14ac:dyDescent="0.3">
      <c r="A52" s="744"/>
      <c r="B52" s="286" t="s">
        <v>622</v>
      </c>
      <c r="C52" s="67"/>
      <c r="D52" s="67"/>
      <c r="E52" s="67"/>
      <c r="F52" s="67"/>
      <c r="G52" s="67"/>
      <c r="H52" s="61"/>
      <c r="I52" s="61"/>
      <c r="J52" s="61"/>
      <c r="K52" s="61"/>
      <c r="L52" s="61"/>
      <c r="M52" s="61"/>
      <c r="N52" s="61"/>
      <c r="O52" s="210"/>
      <c r="P52" s="472"/>
      <c r="Q52" s="557"/>
      <c r="S52" s="67"/>
    </row>
    <row r="53" spans="1:26" s="133" customFormat="1" ht="17.399999999999999" customHeight="1" x14ac:dyDescent="0.3">
      <c r="A53" s="857"/>
      <c r="B53" s="904" t="s">
        <v>840</v>
      </c>
      <c r="C53" s="905"/>
      <c r="D53" s="906"/>
      <c r="E53" s="379" cm="1">
        <f t="array" ref="E53">_xlfn.SWITCH(AnalysisTerm,3,3,5,5,7,5,10,5)</f>
        <v>5</v>
      </c>
      <c r="F53" s="856">
        <f>1/E53</f>
        <v>0.2</v>
      </c>
      <c r="G53" s="67"/>
      <c r="H53" s="61"/>
      <c r="I53" s="61"/>
      <c r="J53" s="61"/>
      <c r="K53" s="61"/>
      <c r="L53" s="61"/>
      <c r="M53" s="61"/>
      <c r="N53" s="61"/>
      <c r="O53" s="210"/>
      <c r="P53" s="472"/>
      <c r="Q53" s="557"/>
      <c r="S53" s="67"/>
    </row>
    <row r="54" spans="1:26" s="133" customFormat="1" ht="17.399999999999999" customHeight="1" x14ac:dyDescent="0.3">
      <c r="A54" s="744"/>
      <c r="B54" s="286"/>
      <c r="C54" s="67"/>
      <c r="D54" s="67"/>
      <c r="E54" s="67"/>
      <c r="F54" s="67"/>
      <c r="G54" s="67"/>
      <c r="H54" s="61" t="str">
        <f>IF(AnalysisTerm&lt;=3,"hide column","show column")</f>
        <v>show column</v>
      </c>
      <c r="I54" s="61" t="str">
        <f>IF(AnalysisTerm&lt;=4,"hide column","show column")</f>
        <v>show column</v>
      </c>
      <c r="J54" s="61" t="str">
        <f>J43</f>
        <v>show column</v>
      </c>
      <c r="K54" s="61" t="str">
        <f>K43</f>
        <v>show column</v>
      </c>
      <c r="L54" s="61" t="str">
        <f>L43</f>
        <v>show column</v>
      </c>
      <c r="M54" s="61" t="str">
        <f>M43</f>
        <v>show column</v>
      </c>
      <c r="N54" s="61" t="str">
        <f>N43</f>
        <v>show column</v>
      </c>
      <c r="O54" s="210"/>
      <c r="P54" s="472"/>
      <c r="Q54" s="557"/>
      <c r="S54" s="67"/>
    </row>
    <row r="55" spans="1:26" ht="18" customHeight="1" x14ac:dyDescent="0.3">
      <c r="A55" s="206"/>
      <c r="B55" s="946" t="s">
        <v>843</v>
      </c>
      <c r="C55" s="58"/>
      <c r="D55" s="58"/>
      <c r="E55" s="20" t="s">
        <v>9</v>
      </c>
      <c r="F55" s="20" t="s">
        <v>10</v>
      </c>
      <c r="G55" s="20" t="s">
        <v>11</v>
      </c>
      <c r="H55" s="20" t="str">
        <f>IF(AnalysisTerm&gt;3,"Year 4","")</f>
        <v>Year 4</v>
      </c>
      <c r="I55" s="441" t="str">
        <f>IF(AnalysisTerm&gt;3,"Year 5","")</f>
        <v>Year 5</v>
      </c>
      <c r="J55" s="441">
        <f>$J$13</f>
        <v>6</v>
      </c>
      <c r="K55" s="441">
        <f>K$13</f>
        <v>7</v>
      </c>
      <c r="L55" s="441">
        <f t="shared" ref="L55:N55" si="9">L$13</f>
        <v>8</v>
      </c>
      <c r="M55" s="441">
        <f t="shared" si="9"/>
        <v>9</v>
      </c>
      <c r="N55" s="441">
        <f t="shared" si="9"/>
        <v>10</v>
      </c>
      <c r="O55" s="588" t="s">
        <v>17</v>
      </c>
      <c r="P55" s="100"/>
    </row>
    <row r="56" spans="1:26" ht="18" customHeight="1" x14ac:dyDescent="0.3">
      <c r="A56" s="206"/>
      <c r="B56" s="904" t="s">
        <v>40</v>
      </c>
      <c r="C56" s="905"/>
      <c r="D56" s="906"/>
      <c r="E56" s="854">
        <f>ROUND(1/AnalysisTerm,3)</f>
        <v>0.1</v>
      </c>
      <c r="F56" s="854">
        <f t="shared" ref="E56:G61" si="10">ROUND(1/AnalysisTerm,3)</f>
        <v>0.1</v>
      </c>
      <c r="G56" s="854">
        <f t="shared" si="10"/>
        <v>0.1</v>
      </c>
      <c r="H56" s="854">
        <f t="shared" ref="H56:I61" si="11">IF(AnalysisTerm&gt;3,ROUND(1/AnalysisTerm,3),"")</f>
        <v>0.1</v>
      </c>
      <c r="I56" s="855">
        <f t="shared" si="11"/>
        <v>0.1</v>
      </c>
      <c r="J56" s="855">
        <f t="shared" ref="J56:K61" si="12">IF(AnalysisTerm&gt;5,ROUND(1/AnalysisTerm,3),"")</f>
        <v>0.1</v>
      </c>
      <c r="K56" s="855">
        <f t="shared" si="12"/>
        <v>0.1</v>
      </c>
      <c r="L56" s="855">
        <f t="shared" ref="L56:N61" si="13">IF(AnalysisTerm&gt;7,ROUND(1/AnalysisTerm,3),"")</f>
        <v>0.1</v>
      </c>
      <c r="M56" s="855">
        <f t="shared" si="13"/>
        <v>0.1</v>
      </c>
      <c r="N56" s="855">
        <f t="shared" si="13"/>
        <v>0.1</v>
      </c>
      <c r="O56" s="589">
        <f>ROUND(SUM(E56:K56),0)</f>
        <v>1</v>
      </c>
    </row>
    <row r="57" spans="1:26" ht="18" customHeight="1" x14ac:dyDescent="0.3">
      <c r="A57" s="206"/>
      <c r="B57" s="904" t="s">
        <v>41</v>
      </c>
      <c r="C57" s="905"/>
      <c r="D57" s="906"/>
      <c r="E57" s="854">
        <f t="shared" si="10"/>
        <v>0.1</v>
      </c>
      <c r="F57" s="854">
        <f t="shared" si="10"/>
        <v>0.1</v>
      </c>
      <c r="G57" s="854">
        <f t="shared" si="10"/>
        <v>0.1</v>
      </c>
      <c r="H57" s="854">
        <f t="shared" si="11"/>
        <v>0.1</v>
      </c>
      <c r="I57" s="855">
        <f t="shared" si="11"/>
        <v>0.1</v>
      </c>
      <c r="J57" s="855">
        <f t="shared" si="12"/>
        <v>0.1</v>
      </c>
      <c r="K57" s="855">
        <f t="shared" si="12"/>
        <v>0.1</v>
      </c>
      <c r="L57" s="855">
        <f t="shared" si="13"/>
        <v>0.1</v>
      </c>
      <c r="M57" s="855">
        <f t="shared" si="13"/>
        <v>0.1</v>
      </c>
      <c r="N57" s="855">
        <f t="shared" si="13"/>
        <v>0.1</v>
      </c>
      <c r="O57" s="589">
        <f t="shared" ref="O57:O64" si="14">ROUND(SUM(E57:K57),0)</f>
        <v>1</v>
      </c>
      <c r="U57" s="749"/>
      <c r="V57" s="749"/>
      <c r="W57" s="749"/>
      <c r="X57" s="749"/>
      <c r="Y57" s="749"/>
    </row>
    <row r="58" spans="1:26" ht="18" customHeight="1" x14ac:dyDescent="0.3">
      <c r="A58" s="206"/>
      <c r="B58" s="904" t="s">
        <v>182</v>
      </c>
      <c r="C58" s="905"/>
      <c r="D58" s="906"/>
      <c r="E58" s="854">
        <f t="shared" si="10"/>
        <v>0.1</v>
      </c>
      <c r="F58" s="854">
        <f t="shared" si="10"/>
        <v>0.1</v>
      </c>
      <c r="G58" s="854">
        <f t="shared" si="10"/>
        <v>0.1</v>
      </c>
      <c r="H58" s="854">
        <f t="shared" si="11"/>
        <v>0.1</v>
      </c>
      <c r="I58" s="855">
        <f t="shared" si="11"/>
        <v>0.1</v>
      </c>
      <c r="J58" s="855">
        <f t="shared" si="12"/>
        <v>0.1</v>
      </c>
      <c r="K58" s="855">
        <f t="shared" si="12"/>
        <v>0.1</v>
      </c>
      <c r="L58" s="855">
        <f t="shared" si="13"/>
        <v>0.1</v>
      </c>
      <c r="M58" s="855">
        <f t="shared" si="13"/>
        <v>0.1</v>
      </c>
      <c r="N58" s="855">
        <f t="shared" si="13"/>
        <v>0.1</v>
      </c>
      <c r="O58" s="589">
        <f t="shared" si="14"/>
        <v>1</v>
      </c>
      <c r="U58" s="750"/>
      <c r="V58" s="750"/>
      <c r="W58" s="750"/>
      <c r="X58" s="750"/>
      <c r="Y58" s="750"/>
    </row>
    <row r="59" spans="1:26" ht="18" customHeight="1" x14ac:dyDescent="0.3">
      <c r="A59" s="726" t="s">
        <v>345</v>
      </c>
      <c r="B59" s="904" t="s">
        <v>149</v>
      </c>
      <c r="C59" s="905"/>
      <c r="D59" s="906"/>
      <c r="E59" s="854">
        <f t="shared" si="10"/>
        <v>0.1</v>
      </c>
      <c r="F59" s="854">
        <f t="shared" si="10"/>
        <v>0.1</v>
      </c>
      <c r="G59" s="854">
        <f t="shared" si="10"/>
        <v>0.1</v>
      </c>
      <c r="H59" s="854">
        <f t="shared" si="11"/>
        <v>0.1</v>
      </c>
      <c r="I59" s="855">
        <f t="shared" si="11"/>
        <v>0.1</v>
      </c>
      <c r="J59" s="855">
        <f t="shared" si="12"/>
        <v>0.1</v>
      </c>
      <c r="K59" s="855">
        <f t="shared" si="12"/>
        <v>0.1</v>
      </c>
      <c r="L59" s="855">
        <f t="shared" si="13"/>
        <v>0.1</v>
      </c>
      <c r="M59" s="855">
        <f t="shared" si="13"/>
        <v>0.1</v>
      </c>
      <c r="N59" s="855">
        <f t="shared" si="13"/>
        <v>0.1</v>
      </c>
      <c r="O59" s="589">
        <f t="shared" si="14"/>
        <v>1</v>
      </c>
    </row>
    <row r="60" spans="1:26" ht="18" customHeight="1" x14ac:dyDescent="0.3">
      <c r="A60" s="206"/>
      <c r="B60" s="904" t="s">
        <v>183</v>
      </c>
      <c r="C60" s="905"/>
      <c r="D60" s="906"/>
      <c r="E60" s="854">
        <f t="shared" si="10"/>
        <v>0.1</v>
      </c>
      <c r="F60" s="854">
        <f t="shared" si="10"/>
        <v>0.1</v>
      </c>
      <c r="G60" s="854">
        <f t="shared" si="10"/>
        <v>0.1</v>
      </c>
      <c r="H60" s="854">
        <f t="shared" si="11"/>
        <v>0.1</v>
      </c>
      <c r="I60" s="855">
        <f t="shared" si="11"/>
        <v>0.1</v>
      </c>
      <c r="J60" s="855">
        <f t="shared" si="12"/>
        <v>0.1</v>
      </c>
      <c r="K60" s="855">
        <f t="shared" si="12"/>
        <v>0.1</v>
      </c>
      <c r="L60" s="855">
        <f t="shared" si="13"/>
        <v>0.1</v>
      </c>
      <c r="M60" s="855">
        <f t="shared" si="13"/>
        <v>0.1</v>
      </c>
      <c r="N60" s="855">
        <f t="shared" si="13"/>
        <v>0.1</v>
      </c>
      <c r="O60" s="589">
        <f t="shared" si="14"/>
        <v>1</v>
      </c>
      <c r="U60" s="750"/>
      <c r="V60" s="750"/>
      <c r="W60" s="750"/>
      <c r="X60" s="750"/>
      <c r="Y60" s="750"/>
      <c r="Z60" s="751"/>
    </row>
    <row r="61" spans="1:26" ht="18" customHeight="1" x14ac:dyDescent="0.3">
      <c r="A61" s="206"/>
      <c r="B61" s="904" t="s">
        <v>136</v>
      </c>
      <c r="C61" s="905"/>
      <c r="D61" s="906"/>
      <c r="E61" s="854">
        <f t="shared" si="10"/>
        <v>0.1</v>
      </c>
      <c r="F61" s="854">
        <f t="shared" si="10"/>
        <v>0.1</v>
      </c>
      <c r="G61" s="854">
        <f t="shared" si="10"/>
        <v>0.1</v>
      </c>
      <c r="H61" s="854">
        <f t="shared" si="11"/>
        <v>0.1</v>
      </c>
      <c r="I61" s="855">
        <f t="shared" si="11"/>
        <v>0.1</v>
      </c>
      <c r="J61" s="855">
        <f t="shared" si="12"/>
        <v>0.1</v>
      </c>
      <c r="K61" s="855">
        <f t="shared" si="12"/>
        <v>0.1</v>
      </c>
      <c r="L61" s="855">
        <f t="shared" si="13"/>
        <v>0.1</v>
      </c>
      <c r="M61" s="855">
        <f t="shared" si="13"/>
        <v>0.1</v>
      </c>
      <c r="N61" s="855">
        <f t="shared" si="13"/>
        <v>0.1</v>
      </c>
      <c r="O61" s="589">
        <f t="shared" si="14"/>
        <v>1</v>
      </c>
      <c r="U61" s="750"/>
      <c r="V61" s="750"/>
      <c r="W61" s="750"/>
      <c r="X61" s="750"/>
      <c r="Y61" s="750"/>
      <c r="Z61" s="751"/>
    </row>
    <row r="62" spans="1:26" ht="18" customHeight="1" x14ac:dyDescent="0.3">
      <c r="A62" s="206" t="s">
        <v>345</v>
      </c>
      <c r="B62" s="904" t="s">
        <v>184</v>
      </c>
      <c r="C62" s="905"/>
      <c r="D62" s="906"/>
      <c r="E62" s="854">
        <v>1</v>
      </c>
      <c r="F62" s="854">
        <v>0</v>
      </c>
      <c r="G62" s="854">
        <v>0</v>
      </c>
      <c r="H62" s="854">
        <v>0</v>
      </c>
      <c r="I62" s="854">
        <v>0</v>
      </c>
      <c r="J62" s="854">
        <v>0</v>
      </c>
      <c r="K62" s="854">
        <v>0</v>
      </c>
      <c r="L62" s="854">
        <v>0</v>
      </c>
      <c r="M62" s="854">
        <v>0</v>
      </c>
      <c r="N62" s="854">
        <v>0</v>
      </c>
      <c r="O62" s="589">
        <f t="shared" si="14"/>
        <v>1</v>
      </c>
      <c r="Q62" s="757"/>
      <c r="U62" s="751"/>
      <c r="V62" s="751"/>
      <c r="W62" s="751"/>
      <c r="X62" s="751"/>
      <c r="Y62" s="751"/>
    </row>
    <row r="63" spans="1:26" ht="18" customHeight="1" x14ac:dyDescent="0.3">
      <c r="A63" s="206"/>
      <c r="B63" s="904" t="s">
        <v>185</v>
      </c>
      <c r="C63" s="905"/>
      <c r="D63" s="906"/>
      <c r="E63" s="854">
        <f>ROUND(1/AnalysisTerm,3)</f>
        <v>0.1</v>
      </c>
      <c r="F63" s="854">
        <f>ROUND(1/AnalysisTerm,3)</f>
        <v>0.1</v>
      </c>
      <c r="G63" s="854">
        <f>ROUND(1/AnalysisTerm,3)</f>
        <v>0.1</v>
      </c>
      <c r="H63" s="854">
        <f>IF(AnalysisTerm&gt;3,ROUND(1/AnalysisTerm,3),"")</f>
        <v>0.1</v>
      </c>
      <c r="I63" s="855">
        <f>IF(AnalysisTerm&gt;3,ROUND(1/AnalysisTerm,3),"")</f>
        <v>0.1</v>
      </c>
      <c r="J63" s="855">
        <f>IF(AnalysisTerm&gt;5,ROUND(1/AnalysisTerm,3),"")</f>
        <v>0.1</v>
      </c>
      <c r="K63" s="855">
        <f>IF(AnalysisTerm&gt;5,ROUND(1/AnalysisTerm,3),"")</f>
        <v>0.1</v>
      </c>
      <c r="L63" s="855">
        <f>IF(AnalysisTerm&gt;7,ROUND(1/AnalysisTerm,3),"")</f>
        <v>0.1</v>
      </c>
      <c r="M63" s="855">
        <f>IF(AnalysisTerm&gt;7,ROUND(1/AnalysisTerm,3),"")</f>
        <v>0.1</v>
      </c>
      <c r="N63" s="855">
        <f>IF(AnalysisTerm&gt;7,ROUND(1/AnalysisTerm,3),"")</f>
        <v>0.1</v>
      </c>
      <c r="O63" s="589">
        <f t="shared" si="14"/>
        <v>1</v>
      </c>
      <c r="Q63" s="757"/>
    </row>
    <row r="64" spans="1:26" ht="18" customHeight="1" x14ac:dyDescent="0.3">
      <c r="A64" s="206"/>
      <c r="B64" s="904" t="s">
        <v>427</v>
      </c>
      <c r="C64" s="905"/>
      <c r="D64" s="906"/>
      <c r="E64" s="854">
        <v>1</v>
      </c>
      <c r="F64" s="854">
        <v>0</v>
      </c>
      <c r="G64" s="854">
        <v>0</v>
      </c>
      <c r="H64" s="854">
        <v>0</v>
      </c>
      <c r="I64" s="854">
        <v>0</v>
      </c>
      <c r="J64" s="854">
        <v>0</v>
      </c>
      <c r="K64" s="854">
        <v>0</v>
      </c>
      <c r="L64" s="854">
        <v>0</v>
      </c>
      <c r="M64" s="854">
        <v>0</v>
      </c>
      <c r="N64" s="854">
        <v>0</v>
      </c>
      <c r="O64" s="589">
        <f t="shared" si="14"/>
        <v>1</v>
      </c>
      <c r="Q64" s="757"/>
    </row>
    <row r="65" spans="1:32" ht="18" customHeight="1" x14ac:dyDescent="0.3">
      <c r="A65" s="206" t="s">
        <v>345</v>
      </c>
      <c r="B65" s="904" t="s">
        <v>621</v>
      </c>
      <c r="C65" s="905"/>
      <c r="D65" s="906"/>
      <c r="E65" s="854">
        <v>0</v>
      </c>
      <c r="F65" s="854">
        <v>0.15</v>
      </c>
      <c r="G65" s="854">
        <v>0.4</v>
      </c>
      <c r="H65" s="854">
        <v>0</v>
      </c>
      <c r="I65" s="854">
        <v>0</v>
      </c>
      <c r="J65" s="854">
        <v>0</v>
      </c>
      <c r="K65" s="854">
        <v>0</v>
      </c>
      <c r="L65" s="854">
        <v>0</v>
      </c>
      <c r="M65" s="854">
        <v>0</v>
      </c>
      <c r="N65" s="854">
        <v>0</v>
      </c>
      <c r="Q65" s="757"/>
    </row>
    <row r="66" spans="1:32" ht="18" customHeight="1" x14ac:dyDescent="0.3">
      <c r="A66" s="206" t="s">
        <v>345</v>
      </c>
      <c r="B66" s="904" t="s">
        <v>426</v>
      </c>
      <c r="C66" s="905"/>
      <c r="D66" s="906"/>
      <c r="E66" s="854">
        <f>ROUND(1/AnalysisTerm,3)</f>
        <v>0.1</v>
      </c>
      <c r="F66" s="854">
        <f>ROUND(2/AnalysisTerm,3)</f>
        <v>0.2</v>
      </c>
      <c r="G66" s="854">
        <f>ROUND(3/AnalysisTerm,3)</f>
        <v>0.3</v>
      </c>
      <c r="H66" s="854">
        <f>IF(AnalysisTerm&gt;3,ROUND(4/AnalysisTerm,3),"")</f>
        <v>0.4</v>
      </c>
      <c r="I66" s="854">
        <f>IF(AnalysisTerm&gt;3,ROUND(5/AnalysisTerm,3),"")</f>
        <v>0.5</v>
      </c>
      <c r="J66" s="854">
        <f>IF(AnalysisTerm&gt;5,ROUND(6/AnalysisTerm,3),"")</f>
        <v>0.6</v>
      </c>
      <c r="K66" s="854">
        <f>IF(AnalysisTerm&gt;5,ROUND(7/AnalysisTerm,3),"")</f>
        <v>0.7</v>
      </c>
      <c r="L66" s="854">
        <f>IF(AnalysisTerm&gt;7,ROUND(8/AnalysisTerm,3),"")</f>
        <v>0.8</v>
      </c>
      <c r="M66" s="854">
        <f>IF(AnalysisTerm&gt;7,ROUND(9/AnalysisTerm,3),"")</f>
        <v>0.9</v>
      </c>
      <c r="N66" s="854">
        <f>IF(AnalysisTerm&gt;7,ROUND(10/AnalysisTerm,3),"")</f>
        <v>1</v>
      </c>
    </row>
    <row r="67" spans="1:32" ht="18" customHeight="1" thickBot="1" x14ac:dyDescent="0.35"/>
    <row r="68" spans="1:32" ht="18" customHeight="1" thickBot="1" x14ac:dyDescent="0.35">
      <c r="A68" s="206"/>
      <c r="B68" s="467" t="s">
        <v>623</v>
      </c>
      <c r="C68" s="468"/>
      <c r="D68" s="468"/>
      <c r="E68" s="468"/>
      <c r="F68" s="468"/>
      <c r="G68" s="468"/>
      <c r="H68" s="468"/>
      <c r="I68" s="468"/>
      <c r="J68" s="468"/>
      <c r="K68" s="468"/>
      <c r="L68" s="468"/>
      <c r="M68" s="468"/>
      <c r="N68" s="468"/>
      <c r="O68" s="468"/>
      <c r="Q68" s="685"/>
    </row>
    <row r="69" spans="1:32" ht="18" customHeight="1" x14ac:dyDescent="0.3">
      <c r="A69" s="206"/>
      <c r="B69" s="95"/>
      <c r="C69" s="100"/>
      <c r="D69" s="100"/>
      <c r="E69" s="100"/>
      <c r="F69" s="100"/>
      <c r="G69" s="100"/>
      <c r="H69" s="61" t="str">
        <f>IF(AnalysisTerm&lt;=3,"hide column","show column")</f>
        <v>show column</v>
      </c>
      <c r="I69" s="61" t="str">
        <f>IF(AnalysisTerm&lt;=4,"hide column","show column")</f>
        <v>show column</v>
      </c>
      <c r="J69" s="61" t="str">
        <f>J$54</f>
        <v>show column</v>
      </c>
      <c r="K69" s="61" t="str">
        <f>K$54</f>
        <v>show column</v>
      </c>
      <c r="L69" s="61" t="str">
        <f t="shared" ref="L69:N69" si="15">L$54</f>
        <v>show column</v>
      </c>
      <c r="M69" s="61" t="str">
        <f t="shared" si="15"/>
        <v>show column</v>
      </c>
      <c r="N69" s="61" t="str">
        <f t="shared" si="15"/>
        <v>show column</v>
      </c>
      <c r="O69" s="100"/>
      <c r="P69" s="95"/>
      <c r="Q69" s="100"/>
      <c r="R69" s="95"/>
    </row>
    <row r="70" spans="1:32" ht="18" customHeight="1" x14ac:dyDescent="0.3">
      <c r="A70" s="206"/>
      <c r="B70" s="58" t="s">
        <v>496</v>
      </c>
      <c r="C70" s="493" t="s">
        <v>221</v>
      </c>
      <c r="D70" s="493" t="s">
        <v>222</v>
      </c>
      <c r="E70" s="20" t="s">
        <v>9</v>
      </c>
      <c r="F70" s="20" t="s">
        <v>10</v>
      </c>
      <c r="G70" s="20" t="s">
        <v>11</v>
      </c>
      <c r="H70" s="20" t="str">
        <f>IF(AnalysisTerm&gt;3,"Year 4","")</f>
        <v>Year 4</v>
      </c>
      <c r="I70" s="940">
        <f>IF(AnalysisTerm&gt;3,5,"")</f>
        <v>5</v>
      </c>
      <c r="J70" s="940">
        <f>$J$13</f>
        <v>6</v>
      </c>
      <c r="K70" s="940">
        <f>K$13</f>
        <v>7</v>
      </c>
      <c r="L70" s="940">
        <f t="shared" ref="L70:N70" si="16">L$13</f>
        <v>8</v>
      </c>
      <c r="M70" s="940">
        <f t="shared" si="16"/>
        <v>9</v>
      </c>
      <c r="N70" s="940">
        <f t="shared" si="16"/>
        <v>10</v>
      </c>
      <c r="O70" s="20" t="s">
        <v>17</v>
      </c>
      <c r="P70" s="95"/>
      <c r="Q70" s="100"/>
      <c r="R70" s="95"/>
      <c r="S70" s="95"/>
    </row>
    <row r="71" spans="1:32" ht="18" customHeight="1" x14ac:dyDescent="0.3">
      <c r="A71" s="61"/>
      <c r="B71" s="192" t="str">
        <f t="shared" ref="B71:B81" si="17">B56</f>
        <v>Compute</v>
      </c>
      <c r="C71" s="858">
        <f>Compute!F12/(1+AnalysisTerm*Compute!F11)+Compute!F76/(1+AnalysisTerm*Compute!F75)+Compute!F96+Compute!F126/(1+AnalysisTerm*Compute!F125)</f>
        <v>10475000</v>
      </c>
      <c r="D71" s="963">
        <f>Compute!F12/(1+AnalysisTerm*Compute!F11)*AnalysisTerm*Compute!F11+Compute!F76/(1+AnalysisTerm*Compute!F75)*AnalysisTerm*Compute!F75+Compute!F96*Compute!F99*AnalysisTerm+Compute!F126/(1+AnalysisTerm*Compute!F125)*AnalysisTerm</f>
        <v>19750000</v>
      </c>
      <c r="E71" s="858">
        <f>(Hardware_Refreshcylce+Growth)*$C71+$D71/AnalysisTerm*(1+Growth)</f>
        <v>4692500</v>
      </c>
      <c r="F71" s="858">
        <f>((Hardware_Refreshcylce+(1+Growth)^2-(1+Growth))*$C71+$D71/AnalysisTerm*(1+Growth)^2)*(1+Inflation)^1</f>
        <v>4967046.25</v>
      </c>
      <c r="G71" s="858">
        <f>((Hardware_Refreshcylce+(1+Growth)^3-(1+Growth)^2)*$C71+$D71/AnalysisTerm*(1+Growth)^3)*(1+Inflation)^2</f>
        <v>5260731.2443750007</v>
      </c>
      <c r="H71" s="858">
        <f>IF(AnalysisTerm&gt;3,((Hardware_Refreshcylce+(1+Growth)^4-(1+Growth)^3)*$C71+$D71/AnalysisTerm*(1+Growth)^4)*(1+Inflation)^3,"")</f>
        <v>5575017.6875415603</v>
      </c>
      <c r="I71" s="858">
        <f>IF(AnalysisTerm&gt;3,((Hardware_Refreshcylce+(1+Growth)^5-(1+Growth)^4)*$C71+$D71/AnalysisTerm*(1+Growth)^5)*(1+Inflation)^4,"")</f>
        <v>5911484.5812287014</v>
      </c>
      <c r="J71" s="939">
        <f>IF(AnalysisTerm&gt;$I$70,((Hardware_Refreshcylce+(1+Growth)^J$70-(1+Growth)^I$70)*$C71+$D71/AnalysisTerm*(1+Growth)^J$70)*(1+Inflation)^I$70,"")</f>
        <v>6271836.6153159104</v>
      </c>
      <c r="K71" s="939">
        <f>IF(AnalysisTerm&gt;$I$70,((Hardware_Refreshcylce+(1+Growth)^K$70-(1+Growth)^J$70)*$C71+$D71/AnalysisTerm*(1+Growth)^K$70)*(1+Inflation)^J$70,"")</f>
        <v>6657914.3214027509</v>
      </c>
      <c r="L71" s="939">
        <f>IF(AnalysisTerm&gt;$K$70,((Hardware_Refreshcylce+(1+Growth)^L$70-(1+Growth)^K$70)*$C71+$D71/AnalysisTerm*(1+Growth)^L$70)*(1+Inflation)^K$70,"")</f>
        <v>7071705.0511938147</v>
      </c>
      <c r="M71" s="939">
        <f>IF(AnalysisTerm&gt;$K$70,((Hardware_Refreshcylce+(1+Growth)^M$70-(1+Growth)^L$70)*$C71+$D71/AnalysisTerm*(1+Growth)^M$70)*(1+Inflation)^L$70,"")</f>
        <v>7515354.8468407597</v>
      </c>
      <c r="N71" s="939">
        <f>IF(AnalysisTerm&gt;$K$70,((Hardware_Refreshcylce+(1+Growth)^N$70-(1+Growth)^M$70)*$C71+$D71/AnalysisTerm*(1+Growth)^N$70)*(1+Inflation)^M$70,"")</f>
        <v>7991181.275852168</v>
      </c>
      <c r="O71" s="858">
        <f>SUM(E71:N71)</f>
        <v>61914771.873750672</v>
      </c>
      <c r="P71" s="95"/>
      <c r="Q71" s="672" t="s">
        <v>729</v>
      </c>
      <c r="R71" s="95"/>
      <c r="S71" s="95"/>
      <c r="T71" s="942"/>
      <c r="U71" s="966"/>
      <c r="V71" s="942"/>
      <c r="W71" s="942"/>
      <c r="X71" s="942"/>
      <c r="Y71" s="942"/>
      <c r="Z71" s="942"/>
      <c r="AA71" s="942"/>
      <c r="AB71" s="942"/>
      <c r="AC71" s="942"/>
      <c r="AD71" s="942"/>
      <c r="AE71" s="942"/>
      <c r="AF71" s="942"/>
    </row>
    <row r="72" spans="1:32" ht="18" customHeight="1" x14ac:dyDescent="0.3">
      <c r="A72" s="61"/>
      <c r="B72" s="192" t="str">
        <f t="shared" si="17"/>
        <v>Storage</v>
      </c>
      <c r="C72" s="209">
        <f>Storage!F21/(1+AnalysisTerm*Storage!F20)+Compute!F97</f>
        <v>4785714</v>
      </c>
      <c r="D72" s="590">
        <f>Storage!F21/(1+AnalysisTerm*Storage!F20)*AnalysisTerm*Storage!F20+Compute!F97*Compute!F99*AnalysisTerm</f>
        <v>7178571</v>
      </c>
      <c r="E72" s="858">
        <f>(Hardware_Refreshcylce+Growth)*$C72+$D72/AnalysisTerm*(1+Growth)</f>
        <v>1950178.4550000001</v>
      </c>
      <c r="F72" s="858">
        <f>((Hardware_Refreshcylce+(1+Growth)^2-(1+Growth))*$C72+$D72/AnalysisTerm*(1+Growth)^2)*(1+Inflation)^1</f>
        <v>2059825.1448824999</v>
      </c>
      <c r="G72" s="858">
        <f>((Hardware_Refreshcylce+(1+Growth)^3-(1+Growth)^2)*$C72+$D72/AnalysisTerm*(1+Growth)^3)*(1+Inflation)^2</f>
        <v>2176929.2543644239</v>
      </c>
      <c r="H72" s="858">
        <f>IF(AnalysisTerm&gt;3,((Hardware_Refreshcylce+(1+Growth)^4-(1+Growth)^3)*$C72+$D72/AnalysisTerm*(1+Growth)^4)*(1+Inflation)^3,"")</f>
        <v>2302054.1995743434</v>
      </c>
      <c r="I72" s="858">
        <f>IF(AnalysisTerm&gt;3,((Hardware_Refreshcylce+(1+Growth)^5-(1+Growth)^4)*$C72+$D72/AnalysisTerm*(1+Growth)^5)*(1+Inflation)^4,"")</f>
        <v>2435807.98414825</v>
      </c>
      <c r="J72" s="939">
        <f>IF(AnalysisTerm&gt;$I$70,((Hardware_Refreshcylce+(1+Growth)^J$70-(1+Growth)^I$70)*$C72+$D72/AnalysisTerm*(1+Growth)^J$70)*(1+Inflation)^I$70,"")</f>
        <v>2578846.7931841859</v>
      </c>
      <c r="K72" s="939">
        <f>IF(AnalysisTerm&gt;$I$70,((Hardware_Refreshcylce+(1+Growth)^K$70-(1+Growth)^J$70)*$C72+$D72/AnalysisTerm*(1+Growth)^K$70)*(1+Inflation)^J$70,"")</f>
        <v>2731878.8789063892</v>
      </c>
      <c r="L72" s="939">
        <f>IF(AnalysisTerm&gt;$K$70,((Hardware_Refreshcylce+(1+Growth)^L$70-(1+Growth)^K$70)*$C72+$D72/AnalysisTerm*(1+Growth)^L$70)*(1+Inflation)^K$70,"")</f>
        <v>2895668.7617772785</v>
      </c>
      <c r="M72" s="939">
        <f>IF(AnalysisTerm&gt;$K$70,((Hardware_Refreshcylce+(1+Growth)^M$70-(1+Growth)^L$70)*$C72+$D72/AnalysisTerm*(1+Growth)^M$70)*(1+Inflation)^L$70,"")</f>
        <v>3071041.7727293493</v>
      </c>
      <c r="N72" s="939">
        <f>IF(AnalysisTerm&gt;$K$70,((Hardware_Refreshcylce+(1+Growth)^N$70-(1+Growth)^M$70)*$C72+$D72/AnalysisTerm*(1+Growth)^N$70)*(1+Inflation)^M$70,"")</f>
        <v>3258888.9642800288</v>
      </c>
      <c r="O72" s="858">
        <f>SUM(E72:N72)</f>
        <v>25461120.208846748</v>
      </c>
      <c r="P72" s="95"/>
      <c r="Q72" s="672" t="s">
        <v>729</v>
      </c>
      <c r="R72" s="95"/>
      <c r="S72" s="95"/>
      <c r="T72" s="942"/>
      <c r="U72" s="966"/>
      <c r="V72" s="942"/>
      <c r="W72" s="942"/>
      <c r="X72" s="942"/>
      <c r="Y72" s="942"/>
      <c r="Z72" s="942"/>
      <c r="AA72" s="942"/>
      <c r="AB72" s="942"/>
      <c r="AC72" s="942"/>
      <c r="AD72" s="942"/>
      <c r="AE72" s="942"/>
      <c r="AF72" s="942"/>
    </row>
    <row r="73" spans="1:32" ht="18" customHeight="1" x14ac:dyDescent="0.3">
      <c r="A73" s="61"/>
      <c r="B73" s="192" t="str">
        <f t="shared" si="17"/>
        <v>Network</v>
      </c>
      <c r="C73" s="858">
        <f>Network!F11/(1+AnalysisTerm*Network!F10)+Network!F29/(1+AnalysisTerm*Network!F28)+Network!F51/(1+AnalysisTerm*Network!F50)+Compute!F98+Compute!F127/(1+AnalysisTerm*Compute!F125)</f>
        <v>1047500</v>
      </c>
      <c r="D73" s="963">
        <f>Network!F11/(1+AnalysisTerm*Network!F10)*AnalysisTerm*Network!F10+Network!F29/(1+AnalysisTerm*Network!F28)*AnalysisTerm*Network!F28+Network!F51/(1+AnalysisTerm*Network!F50)*AnalysisTerm*Network!F50+Compute!F98*Compute!F99*AnalysisTerm+Compute!F128/(1+AnalysisTerm*Compute!F125)*AnalysisTerm</f>
        <v>1958432</v>
      </c>
      <c r="E73" s="858">
        <f>(Hardware_Refreshcylce+Growth)*$C73+$D73/AnalysisTerm*(1+Growth)</f>
        <v>467510.36</v>
      </c>
      <c r="F73" s="858">
        <f>((Hardware_Refreshcylce+(1+Growth)^2-(1+Growth))*$C73+$D73/AnalysisTerm*(1+Growth)^2)*(1+Inflation)^1</f>
        <v>494823.20434</v>
      </c>
      <c r="G73" s="858">
        <f>((Hardware_Refreshcylce+(1+Growth)^3-(1+Growth)^2)*$C73+$D73/AnalysisTerm*(1+Growth)^3)*(1+Inflation)^2</f>
        <v>524038.36799371004</v>
      </c>
      <c r="H73" s="858">
        <f>IF(AnalysisTerm&gt;3,((Hardware_Refreshcylce+(1+Growth)^4-(1+Growth)^3)*$C73+$D73/AnalysisTerm*(1+Growth)^4)*(1+Inflation)^3,"")</f>
        <v>555301.17966019723</v>
      </c>
      <c r="I73" s="858">
        <f>IF(AnalysisTerm&gt;3,((Hardware_Refreshcylce+(1+Growth)^5-(1+Growth)^4)*$C73+$D73/AnalysisTerm*(1+Growth)^5)*(1+Inflation)^4,"")</f>
        <v>588768.52101775364</v>
      </c>
      <c r="J73" s="939">
        <f>IF(AnalysisTerm&gt;$I$70,((Hardware_Refreshcylce+(1+Growth)^J$70-(1+Growth)^I$70)*$C73+$D73/AnalysisTerm*(1+Growth)^J$70)*(1+Inflation)^I$70,"")</f>
        <v>624609.75955240743</v>
      </c>
      <c r="K73" s="939">
        <f>IF(AnalysisTerm&gt;$I$70,((Hardware_Refreshcylce+(1+Growth)^K$70-(1+Growth)^J$70)*$C73+$D73/AnalysisTerm*(1+Growth)^K$70)*(1+Inflation)^J$70,"")</f>
        <v>663007.75714978809</v>
      </c>
      <c r="L73" s="939">
        <f>IF(AnalysisTerm&gt;$K$70,((Hardware_Refreshcylce+(1+Growth)^L$70-(1+Growth)^K$70)*$C73+$D73/AnalysisTerm*(1+Growth)^L$70)*(1+Inflation)^K$70,"")</f>
        <v>704159.96061716974</v>
      </c>
      <c r="M73" s="939">
        <f>IF(AnalysisTerm&gt;$K$70,((Hardware_Refreshcylce+(1+Growth)^M$70-(1+Growth)^L$70)*$C73+$D73/AnalysisTerm*(1+Growth)^M$70)*(1+Inflation)^L$70,"")</f>
        <v>748279.58080493414</v>
      </c>
      <c r="N73" s="939">
        <f>IF(AnalysisTerm&gt;$K$70,((Hardware_Refreshcylce+(1+Growth)^N$70-(1+Growth)^M$70)*$C73+$D73/AnalysisTerm*(1+Growth)^N$70)*(1+Inflation)^M$70,"")</f>
        <v>795596.86753992492</v>
      </c>
      <c r="O73" s="858">
        <f t="shared" ref="O72:O79" si="18">SUM(E73:N73)</f>
        <v>6166095.5586758852</v>
      </c>
      <c r="P73" s="95"/>
      <c r="Q73" s="672" t="s">
        <v>729</v>
      </c>
      <c r="R73" s="95"/>
      <c r="S73" s="95"/>
      <c r="T73" s="942"/>
      <c r="U73" s="966"/>
      <c r="V73" s="942"/>
      <c r="W73" s="942"/>
      <c r="X73" s="942"/>
      <c r="Y73" s="942"/>
      <c r="Z73" s="942"/>
      <c r="AA73" s="942"/>
      <c r="AB73" s="942"/>
      <c r="AC73" s="942"/>
      <c r="AD73" s="942"/>
      <c r="AE73" s="942"/>
      <c r="AF73" s="942"/>
    </row>
    <row r="74" spans="1:32" ht="18" customHeight="1" x14ac:dyDescent="0.3">
      <c r="A74" s="61"/>
      <c r="B74" s="192" t="str">
        <f t="shared" si="17"/>
        <v>Software</v>
      </c>
      <c r="C74" s="209" t="s">
        <v>0</v>
      </c>
      <c r="D74" s="590">
        <f>Software!F7+Software!F18+Software!F30</f>
        <v>2762815.625</v>
      </c>
      <c r="E74" s="209">
        <f>Software!$F$5+(Software!$F$18+Software!$F$30)/AnalysisTerm*(1+Growth)</f>
        <v>500000</v>
      </c>
      <c r="F74" s="209">
        <f>Software!$F$5*(1+Software!$F$6)+(Software!$F$18+Software!$F$30)/AnalysisTerm*(1+Growth)^2*(1+Inflation)^1</f>
        <v>525000</v>
      </c>
      <c r="G74" s="209">
        <f>Software!$F$5*(1+Software!$F$6)^2+(Software!$F$18+Software!$F$30)/AnalysisTerm*(1+Growth)^3*(1+Inflation)^2</f>
        <v>551250</v>
      </c>
      <c r="H74" s="209">
        <f>IF(AnalysisTerm&gt;3,Software!$F$5*(1+Software!$F$6)^3+(Software!$F$18+Software!$F$30)/AnalysisTerm*(1+Growth)^4*(1+Inflation)^3,"")</f>
        <v>578812.50000000012</v>
      </c>
      <c r="I74" s="209">
        <f>IF(AnalysisTerm&gt;3,Software!$F$5*(1+Software!$F$6)^4+(Software!$F$18+Software!$F$30)/AnalysisTerm*(1+Growth)^5*(1+Inflation)^4,"")</f>
        <v>607753.125</v>
      </c>
      <c r="J74" s="858">
        <f>IF(AnalysisTerm&gt;$I$70,Software!$F$5*(1+Software!$F$6)^I$70+(Software!$F$18+Software!$F$30)/AnalysisTerm*(1+Growth)^J$70*(1+Inflation)^I$70,"")</f>
        <v>638140.78125000012</v>
      </c>
      <c r="K74" s="858">
        <f>IF(AnalysisTerm&gt;$I$70,Software!$F$5*(1+Software!$F$6)^J$70+(Software!$F$18+Software!$F$30)/AnalysisTerm*(1+Growth)^K$70*(1+Inflation)^J$70,"")</f>
        <v>670047.8203125</v>
      </c>
      <c r="L74" s="858">
        <f>IF(AnalysisTerm&gt;$K$70,Software!$F$5*(1+Software!$F$6)^K$70+(Software!$F$18+Software!$F$30)/AnalysisTerm*(1+Growth)^L$70*(1+Inflation)^K$70,"")</f>
        <v>703550.21132812509</v>
      </c>
      <c r="M74" s="858">
        <f>IF(AnalysisTerm&gt;$K$70,Software!$F$5*(1+Software!$F$6)^L$70+(Software!$F$18+Software!$F$30)/AnalysisTerm*(1+Growth)^M$70*(1+Inflation)^L$70,"")</f>
        <v>738727.72189453128</v>
      </c>
      <c r="N74" s="858">
        <f>IF(AnalysisTerm&gt;$K$70,Software!$F$5*(1+Software!$F$6)^M$70+(Software!$F$18+Software!$F$30)/AnalysisTerm*(1+Growth)^N$70*(1+Inflation)^M$70,"")</f>
        <v>775664.1079892579</v>
      </c>
      <c r="O74" s="858">
        <f t="shared" si="18"/>
        <v>6288946.2677744143</v>
      </c>
      <c r="P74" s="95"/>
      <c r="Q74" s="672" t="s">
        <v>732</v>
      </c>
      <c r="R74" s="95"/>
      <c r="S74" s="95"/>
      <c r="T74" s="942"/>
      <c r="U74" s="966"/>
      <c r="V74" s="942"/>
      <c r="W74" s="942"/>
      <c r="X74" s="942"/>
      <c r="Y74" s="942"/>
      <c r="Z74" s="942"/>
      <c r="AA74" s="942"/>
      <c r="AB74" s="942"/>
      <c r="AC74" s="942"/>
      <c r="AD74" s="942"/>
      <c r="AE74" s="942"/>
      <c r="AF74" s="942"/>
    </row>
    <row r="75" spans="1:32" ht="18" customHeight="1" x14ac:dyDescent="0.3">
      <c r="A75" s="61"/>
      <c r="B75" s="192" t="str">
        <f t="shared" si="17"/>
        <v>Facilities</v>
      </c>
      <c r="C75" s="209" t="s">
        <v>0</v>
      </c>
      <c r="D75" s="963">
        <f>Facilities!F13+Compute!F128</f>
        <v>24242608</v>
      </c>
      <c r="E75" s="209">
        <f>$D75/AnalysisTerm*(1+Growth/2)</f>
        <v>2484867.3199999994</v>
      </c>
      <c r="F75" s="209">
        <f>$D75/AnalysisTerm*(1+Growth/2)*(1+Growth)*(1+Inflation)^1</f>
        <v>2687384.0065799993</v>
      </c>
      <c r="G75" s="209">
        <f>$D75/AnalysisTerm*(1+Growth/2)*(1+Growth)^2*(1+Inflation)^2</f>
        <v>2906405.8031162689</v>
      </c>
      <c r="H75" s="209">
        <f>IF(AnalysisTerm&gt;3,$D75/AnalysisTerm*(1+Growth/2)*(1+Growth)^3*(1+Inflation)^3,"")</f>
        <v>3143277.8760702456</v>
      </c>
      <c r="I75" s="209">
        <f>IF(AnalysisTerm&gt;3,$D75/AnalysisTerm*(1+Growth/2)*(1+Growth)^4*(1+Inflation)^4,"")</f>
        <v>3399455.02296997</v>
      </c>
      <c r="J75" s="858">
        <f>IF(AnalysisTerm&gt;$I$70,$D75/AnalysisTerm*(1+Growth/2)*(1+Growth)^J$70*(1+Inflation)^I$70,"")</f>
        <v>3860336.1377091231</v>
      </c>
      <c r="K75" s="858">
        <f>IF(AnalysisTerm&gt;$I$70,$D75/AnalysisTerm*(1+Growth/2)*(1+Growth)^K$70*(1+Inflation)^J$70,"")</f>
        <v>4174953.5329324179</v>
      </c>
      <c r="L75" s="858">
        <f>IF(AnalysisTerm&gt;$K$70,$D75/AnalysisTerm*(1+Growth/2)*(1+Growth)^L$70*(1+Inflation)^K$70,"")</f>
        <v>4515212.2458664095</v>
      </c>
      <c r="M75" s="858">
        <f>IF(AnalysisTerm&gt;$K$70,$D75/AnalysisTerm*(1+Growth/2)*(1+Growth)^M$70*(1+Inflation)^L$70,"")</f>
        <v>4883202.0439045215</v>
      </c>
      <c r="N75" s="858">
        <f>IF(AnalysisTerm&gt;$K$70,$D75/AnalysisTerm*(1+Growth/2)*(1+Growth)^N$70*(1+Inflation)^M$70,"")</f>
        <v>5281183.0104827406</v>
      </c>
      <c r="O75" s="858">
        <f t="shared" si="18"/>
        <v>37336276.999631703</v>
      </c>
      <c r="P75" s="95"/>
      <c r="Q75" s="672" t="s">
        <v>730</v>
      </c>
      <c r="R75" s="95"/>
      <c r="S75" s="95"/>
      <c r="T75" s="942"/>
      <c r="U75" s="966"/>
      <c r="V75" s="942"/>
      <c r="W75" s="942"/>
      <c r="X75" s="942"/>
      <c r="Y75" s="942"/>
      <c r="Z75" s="942"/>
      <c r="AA75" s="942"/>
      <c r="AB75" s="942"/>
      <c r="AC75" s="942"/>
      <c r="AD75" s="942"/>
      <c r="AE75" s="942"/>
      <c r="AF75" s="942"/>
    </row>
    <row r="76" spans="1:32" ht="18" customHeight="1" x14ac:dyDescent="0.3">
      <c r="A76" s="61"/>
      <c r="B76" s="192" t="str">
        <f t="shared" si="17"/>
        <v>Labor</v>
      </c>
      <c r="C76" s="209" t="s">
        <v>0</v>
      </c>
      <c r="D76" s="590">
        <f ca="1">Labor!F127</f>
        <v>44760534.971749999</v>
      </c>
      <c r="E76" s="209">
        <f ca="1">$D76/AnalysisTerm*(1+Growth/2)</f>
        <v>4587954.8346043741</v>
      </c>
      <c r="F76" s="209">
        <f ca="1">$D76/AnalysisTerm*(1+Growth/2)*(1+Growth)*(1+Inflation)^1</f>
        <v>4961873.1536246305</v>
      </c>
      <c r="G76" s="209">
        <f ca="1">$D76/AnalysisTerm*(1+Growth/2)*(1+Growth)^2*(1+Inflation)^2</f>
        <v>5366265.8156450372</v>
      </c>
      <c r="H76" s="209">
        <f ca="1">IF(AnalysisTerm&gt;3,$D76/AnalysisTerm*(1+Growth/2)*(1+Growth)^3*(1+Inflation)^3,"")</f>
        <v>5803616.4796201093</v>
      </c>
      <c r="I76" s="209">
        <f ca="1">IF(AnalysisTerm&gt;3,$D76/AnalysisTerm*(1+Growth/2)*(1+Growth)^4*(1+Inflation)^4,"")</f>
        <v>6276611.2227091473</v>
      </c>
      <c r="J76" s="858">
        <f ca="1">IF(AnalysisTerm&gt;$I$70,$D76/AnalysisTerm*(1+Growth/2)*(1+Growth)^J$70*(1+Inflation)^I$70,"")</f>
        <v>7127562.7892279392</v>
      </c>
      <c r="K76" s="858">
        <f ca="1">IF(AnalysisTerm&gt;$I$70,$D76/AnalysisTerm*(1+Growth/2)*(1+Growth)^K$70*(1+Inflation)^J$70,"")</f>
        <v>7708459.1565500181</v>
      </c>
      <c r="L76" s="858">
        <f ca="1">IF(AnalysisTerm&gt;$K$70,$D76/AnalysisTerm*(1+Growth/2)*(1+Growth)^L$70*(1+Inflation)^K$70,"")</f>
        <v>8336698.5778088439</v>
      </c>
      <c r="M76" s="858">
        <f ca="1">IF(AnalysisTerm&gt;$K$70,$D76/AnalysisTerm*(1+Growth/2)*(1+Growth)^M$70*(1+Inflation)^L$70,"")</f>
        <v>9016139.5119002648</v>
      </c>
      <c r="N76" s="858">
        <f ca="1">IF(AnalysisTerm&gt;$K$70,$D76/AnalysisTerm*(1+Growth/2)*(1+Growth)^N$70*(1+Inflation)^M$70,"")</f>
        <v>9750954.8821201362</v>
      </c>
      <c r="O76" s="858">
        <f t="shared" ca="1" si="18"/>
        <v>68936136.423810497</v>
      </c>
      <c r="P76" s="95"/>
      <c r="Q76" s="672" t="s">
        <v>730</v>
      </c>
      <c r="R76" s="95"/>
      <c r="S76" s="95"/>
      <c r="T76" s="942"/>
      <c r="U76" s="966"/>
      <c r="V76" s="942"/>
      <c r="W76" s="942"/>
      <c r="X76" s="942"/>
      <c r="Y76" s="942"/>
      <c r="Z76" s="942"/>
      <c r="AA76" s="942"/>
      <c r="AB76" s="942"/>
      <c r="AC76" s="942"/>
      <c r="AD76" s="942"/>
      <c r="AE76" s="942"/>
      <c r="AF76" s="942"/>
    </row>
    <row r="77" spans="1:32" ht="18" customHeight="1" x14ac:dyDescent="0.3">
      <c r="A77" s="206"/>
      <c r="B77" s="192" t="str">
        <f t="shared" si="17"/>
        <v>Support</v>
      </c>
      <c r="C77" s="209" t="s">
        <v>0</v>
      </c>
      <c r="D77" s="590">
        <f>Support!F7</f>
        <v>1250000</v>
      </c>
      <c r="E77" s="209">
        <f>$D77/AnalysisTerm</f>
        <v>125000</v>
      </c>
      <c r="F77" s="209">
        <f>$D77/AnalysisTerm</f>
        <v>125000</v>
      </c>
      <c r="G77" s="209">
        <f>$D77/AnalysisTerm</f>
        <v>125000</v>
      </c>
      <c r="H77" s="209">
        <f>IF(AnalysisTerm&gt;3,$D77/AnalysisTerm,"")</f>
        <v>125000</v>
      </c>
      <c r="I77" s="209">
        <f>IF(AnalysisTerm&gt;3,$D77/AnalysisTerm,"")</f>
        <v>125000</v>
      </c>
      <c r="J77" s="858">
        <f>IF(AnalysisTerm&gt;$I$70,$D77/AnalysisTerm,"")</f>
        <v>125000</v>
      </c>
      <c r="K77" s="858">
        <f>IF(AnalysisTerm&gt;$I$70,$D77/AnalysisTerm,"")</f>
        <v>125000</v>
      </c>
      <c r="L77" s="858">
        <f>IF(AnalysisTerm&gt;$K$70,$D77/AnalysisTerm,"")</f>
        <v>125000</v>
      </c>
      <c r="M77" s="858">
        <f>IF(AnalysisTerm&gt;$K$70,$D77/AnalysisTerm,"")</f>
        <v>125000</v>
      </c>
      <c r="N77" s="858">
        <f>IF(AnalysisTerm&gt;$K$70,$D77/AnalysisTerm,"")</f>
        <v>125000</v>
      </c>
      <c r="O77" s="858">
        <f t="shared" si="18"/>
        <v>1250000</v>
      </c>
      <c r="P77" s="95"/>
      <c r="Q77" s="672" t="s">
        <v>725</v>
      </c>
      <c r="R77" s="95"/>
      <c r="S77" s="95"/>
      <c r="T77" s="942"/>
      <c r="U77" s="966"/>
      <c r="V77" s="942"/>
      <c r="W77" s="942"/>
      <c r="X77" s="942"/>
      <c r="Y77" s="942"/>
      <c r="Z77" s="942"/>
      <c r="AA77" s="942"/>
      <c r="AB77" s="942"/>
      <c r="AC77" s="942"/>
      <c r="AD77" s="942"/>
      <c r="AE77" s="942"/>
      <c r="AF77" s="942"/>
    </row>
    <row r="78" spans="1:32" ht="18" customHeight="1" x14ac:dyDescent="0.3">
      <c r="A78" s="61"/>
      <c r="B78" s="192" t="str">
        <f t="shared" si="17"/>
        <v>Migration</v>
      </c>
      <c r="C78" s="590">
        <f ca="1">'Migration - Reskilling'!F11</f>
        <v>4875000</v>
      </c>
      <c r="D78" s="209" t="s">
        <v>0</v>
      </c>
      <c r="E78" s="209">
        <f ca="1">$C78/AnalysisTerm*(1+Growth/2)</f>
        <v>499687.49999999994</v>
      </c>
      <c r="F78" s="209">
        <f ca="1">$C78/AnalysisTerm*(1+Growth/2)*(1+Growth)*(1+Inflation)^1</f>
        <v>540412.03125</v>
      </c>
      <c r="G78" s="209">
        <f ca="1">$C78/AnalysisTerm*(1+Growth/2)*(1+Growth)^2*(1+Inflation)^2</f>
        <v>584455.61179687502</v>
      </c>
      <c r="H78" s="209">
        <f ca="1">IF(AnalysisTerm&gt;3,$C78/AnalysisTerm*(1+Growth/2)*(1+Growth)^3*(1+Inflation)^3,"")</f>
        <v>632088.74415832036</v>
      </c>
      <c r="I78" s="209">
        <f ca="1">IF(AnalysisTerm&gt;3,$C78/AnalysisTerm*(1+Growth/2)*(1+Growth)^4*(1+Inflation)^4,"")</f>
        <v>683603.97680722328</v>
      </c>
      <c r="J78" s="858">
        <f ca="1">IF(AnalysisTerm&gt;$I$70,$C78/AnalysisTerm*(1+Growth/2)*(1+Growth)^I$70*(1+Inflation)^I$70,"")</f>
        <v>739317.70091701206</v>
      </c>
      <c r="K78" s="858">
        <f ca="1">IF(AnalysisTerm&gt;$I$70,$C78/AnalysisTerm*(1+Growth/2)*(1+Growth)^J$70*(1+Inflation)^J$70,"")</f>
        <v>799572.09354174836</v>
      </c>
      <c r="L78" s="858">
        <f ca="1">IF(AnalysisTerm&gt;$K$70,$C78/AnalysisTerm*(1+Growth/2)*(1+Growth)^K$70*(1+Inflation)^K$70,"")</f>
        <v>864737.21916540107</v>
      </c>
      <c r="M78" s="858">
        <f ca="1">IF(AnalysisTerm&gt;$K$70,$C78/AnalysisTerm*(1+Growth/2)*(1+Growth)^L$70*(1+Inflation)^L$70,"")</f>
        <v>935213.30252738111</v>
      </c>
      <c r="N78" s="858">
        <f ca="1">IF(AnalysisTerm&gt;$K$70,$C78/AnalysisTerm*(1+Growth/2)*(1+Growth)^M$70*(1+Inflation)^M$70,"")</f>
        <v>1011433.1866833628</v>
      </c>
      <c r="O78" s="858">
        <f t="shared" ca="1" si="18"/>
        <v>7290521.3668473233</v>
      </c>
      <c r="P78" s="95"/>
      <c r="Q78" s="672" t="s">
        <v>730</v>
      </c>
      <c r="R78" s="95"/>
      <c r="S78" s="95"/>
      <c r="T78" s="966"/>
      <c r="U78" s="942"/>
      <c r="V78" s="942"/>
      <c r="W78" s="942"/>
      <c r="X78" s="942"/>
      <c r="Y78" s="942"/>
      <c r="Z78" s="942"/>
      <c r="AA78" s="942"/>
      <c r="AB78" s="942"/>
      <c r="AC78" s="942"/>
      <c r="AD78" s="942"/>
      <c r="AE78" s="942"/>
      <c r="AF78" s="942"/>
    </row>
    <row r="79" spans="1:32" ht="18" customHeight="1" x14ac:dyDescent="0.3">
      <c r="A79" s="206"/>
      <c r="B79" s="192" t="str">
        <f t="shared" si="17"/>
        <v>One-time Reskilling</v>
      </c>
      <c r="C79" s="209" t="s">
        <v>0</v>
      </c>
      <c r="D79" s="590">
        <f ca="1">'Migration - Reskilling'!F23</f>
        <v>39000</v>
      </c>
      <c r="E79" s="209">
        <f ca="1">$D$79*E64</f>
        <v>39000</v>
      </c>
      <c r="F79" s="209">
        <f ca="1">$D$79*F64</f>
        <v>0</v>
      </c>
      <c r="G79" s="209">
        <f ca="1">$D$79*G64</f>
        <v>0</v>
      </c>
      <c r="H79" s="209">
        <f ca="1">IF(AnalysisTerm&gt;3,$D$79*H64,"")</f>
        <v>0</v>
      </c>
      <c r="I79" s="209">
        <f ca="1">IF(AnalysisTerm&gt;3,$D$79*I64,"")</f>
        <v>0</v>
      </c>
      <c r="J79" s="858">
        <f ca="1">IF(AnalysisTerm&gt;$I$70,$D$79*J64,"")</f>
        <v>0</v>
      </c>
      <c r="K79" s="858">
        <f ca="1">IF(AnalysisTerm&gt;$I$70,$D$79*K64,"")</f>
        <v>0</v>
      </c>
      <c r="L79" s="858">
        <f ca="1">IF(AnalysisTerm&gt;$K$70,$D$79*L64,"")</f>
        <v>0</v>
      </c>
      <c r="M79" s="858">
        <f ca="1">IF(AnalysisTerm&gt;$K$70,$D$79*M64,"")</f>
        <v>0</v>
      </c>
      <c r="N79" s="858">
        <f ca="1">IF(AnalysisTerm&gt;$K$70,$D$79*N64,"")</f>
        <v>0</v>
      </c>
      <c r="O79" s="858">
        <f t="shared" ca="1" si="18"/>
        <v>39000</v>
      </c>
      <c r="P79" s="95"/>
      <c r="Q79" s="672" t="s">
        <v>726</v>
      </c>
      <c r="R79" s="95"/>
      <c r="T79" s="942"/>
      <c r="U79" s="966"/>
      <c r="V79" s="942"/>
      <c r="W79" s="942"/>
      <c r="X79" s="942"/>
      <c r="Y79" s="942"/>
      <c r="Z79" s="942"/>
      <c r="AA79" s="942"/>
      <c r="AB79" s="942"/>
      <c r="AC79" s="942"/>
      <c r="AD79" s="942"/>
      <c r="AE79" s="942"/>
      <c r="AF79" s="942"/>
    </row>
    <row r="80" spans="1:32" ht="18" customHeight="1" x14ac:dyDescent="0.3">
      <c r="A80" s="206"/>
      <c r="B80" s="192" t="str">
        <f t="shared" si="17"/>
        <v>Revenue Impact</v>
      </c>
      <c r="C80" s="209" t="s">
        <v>0</v>
      </c>
      <c r="D80" s="590" t="s">
        <v>0</v>
      </c>
      <c r="E80" s="209" t="s">
        <v>0</v>
      </c>
      <c r="F80" s="209" t="s">
        <v>0</v>
      </c>
      <c r="G80" s="209" t="s">
        <v>0</v>
      </c>
      <c r="H80" s="209" t="str">
        <f>IF(AnalysisTerm&gt;3,"n/a","")</f>
        <v>n/a</v>
      </c>
      <c r="I80" s="209" t="str">
        <f>IF(AnalysisTerm&gt;3,"n/a","")</f>
        <v>n/a</v>
      </c>
      <c r="J80" s="858" t="str">
        <f>IF(AnalysisTerm&gt;5,"n/a","")</f>
        <v>n/a</v>
      </c>
      <c r="K80" s="858" t="str">
        <f>IF(AnalysisTerm&gt;5,"n/a","")</f>
        <v>n/a</v>
      </c>
      <c r="L80" s="858" t="str">
        <f t="shared" ref="L80:N81" si="19">IF(AnalysisTerm&gt;7,"n/a","")</f>
        <v>n/a</v>
      </c>
      <c r="M80" s="858" t="str">
        <f t="shared" si="19"/>
        <v>n/a</v>
      </c>
      <c r="N80" s="858" t="str">
        <f t="shared" si="19"/>
        <v>n/a</v>
      </c>
      <c r="O80" s="858" t="str">
        <f>IF(AnalysisTerm&gt;5,"n/a","")</f>
        <v>n/a</v>
      </c>
      <c r="P80" s="95"/>
      <c r="Q80" s="100"/>
      <c r="R80" s="95"/>
      <c r="T80" s="942"/>
      <c r="U80" s="966"/>
      <c r="V80" s="942"/>
      <c r="W80" s="942"/>
      <c r="X80" s="942"/>
      <c r="Y80" s="942"/>
      <c r="Z80" s="942"/>
      <c r="AA80" s="942"/>
      <c r="AB80" s="942"/>
      <c r="AC80" s="942"/>
      <c r="AD80" s="942"/>
      <c r="AE80" s="942"/>
      <c r="AF80" s="942"/>
    </row>
    <row r="81" spans="1:32" ht="18" customHeight="1" x14ac:dyDescent="0.3">
      <c r="A81" s="206"/>
      <c r="B81" s="192" t="str">
        <f t="shared" si="17"/>
        <v>Risk Reduction</v>
      </c>
      <c r="C81" s="590" t="s">
        <v>0</v>
      </c>
      <c r="D81" s="590" t="s">
        <v>0</v>
      </c>
      <c r="E81" s="209" t="s">
        <v>0</v>
      </c>
      <c r="F81" s="209" t="s">
        <v>0</v>
      </c>
      <c r="G81" s="209" t="s">
        <v>0</v>
      </c>
      <c r="H81" s="209" t="str">
        <f>IF(AnalysisTerm&gt;3,"n/a","")</f>
        <v>n/a</v>
      </c>
      <c r="I81" s="209" t="str">
        <f>IF(AnalysisTerm&gt;3,"n/a","")</f>
        <v>n/a</v>
      </c>
      <c r="J81" s="858" t="str">
        <f>IF(AnalysisTerm&gt;5,"n/a","")</f>
        <v>n/a</v>
      </c>
      <c r="K81" s="858" t="str">
        <f>IF(AnalysisTerm&gt;5,"n/a","")</f>
        <v>n/a</v>
      </c>
      <c r="L81" s="858" t="str">
        <f t="shared" si="19"/>
        <v>n/a</v>
      </c>
      <c r="M81" s="858" t="str">
        <f t="shared" si="19"/>
        <v>n/a</v>
      </c>
      <c r="N81" s="858" t="str">
        <f t="shared" si="19"/>
        <v>n/a</v>
      </c>
      <c r="O81" s="858" t="str">
        <f>IF(AnalysisTerm&gt;5,"n/a","")</f>
        <v>n/a</v>
      </c>
      <c r="P81" s="95"/>
      <c r="Q81" s="100"/>
      <c r="R81" s="95"/>
      <c r="T81" s="966"/>
      <c r="U81" s="966"/>
      <c r="V81" s="942"/>
      <c r="W81" s="942"/>
      <c r="X81" s="942"/>
      <c r="Y81" s="942"/>
      <c r="Z81" s="942"/>
      <c r="AA81" s="942"/>
      <c r="AB81" s="942"/>
      <c r="AC81" s="942"/>
      <c r="AD81" s="942"/>
      <c r="AE81" s="942"/>
      <c r="AF81" s="942"/>
    </row>
    <row r="82" spans="1:32" ht="18" customHeight="1" thickBot="1" x14ac:dyDescent="0.35">
      <c r="A82" s="206"/>
      <c r="B82" s="95"/>
      <c r="C82" s="95"/>
      <c r="D82" s="95"/>
      <c r="E82" s="95"/>
      <c r="F82" s="95"/>
      <c r="G82" s="95"/>
      <c r="H82" s="95"/>
      <c r="I82" s="95"/>
      <c r="J82" s="210"/>
      <c r="K82" s="210"/>
      <c r="L82" s="210"/>
      <c r="M82" s="210"/>
      <c r="N82" s="210"/>
      <c r="O82" s="100"/>
      <c r="P82" s="95"/>
      <c r="Q82" s="942"/>
      <c r="R82" s="942"/>
      <c r="S82" s="942"/>
      <c r="T82" s="942"/>
      <c r="V82" s="943"/>
      <c r="W82" s="943"/>
      <c r="X82" s="943"/>
      <c r="Y82" s="943"/>
      <c r="Z82" s="943"/>
    </row>
    <row r="83" spans="1:32" ht="18" customHeight="1" x14ac:dyDescent="0.3">
      <c r="A83" s="206"/>
      <c r="B83" s="95"/>
      <c r="C83" s="910" t="s">
        <v>430</v>
      </c>
      <c r="D83" s="911"/>
      <c r="E83" s="95"/>
      <c r="F83" s="95"/>
      <c r="G83" s="95"/>
      <c r="H83" s="61" t="str">
        <f>IF(AnalysisTerm&lt;=3,"hide column","show column")</f>
        <v>show column</v>
      </c>
      <c r="I83" s="61" t="str">
        <f>IF(AnalysisTerm&lt;=4,"hide column","show column")</f>
        <v>show column</v>
      </c>
      <c r="J83" s="61" t="str">
        <f>J$54</f>
        <v>show column</v>
      </c>
      <c r="K83" s="61" t="str">
        <f>K$54</f>
        <v>show column</v>
      </c>
      <c r="L83" s="61" t="str">
        <f t="shared" ref="L83:N83" si="20">L$54</f>
        <v>show column</v>
      </c>
      <c r="M83" s="61" t="str">
        <f t="shared" si="20"/>
        <v>show column</v>
      </c>
      <c r="N83" s="61" t="str">
        <f t="shared" si="20"/>
        <v>show column</v>
      </c>
      <c r="O83" s="100"/>
      <c r="P83" s="95"/>
      <c r="Q83" s="100"/>
      <c r="R83" s="95"/>
      <c r="V83" s="943"/>
      <c r="W83" s="943"/>
      <c r="X83" s="943"/>
      <c r="Y83" s="943"/>
      <c r="Z83" s="943"/>
    </row>
    <row r="84" spans="1:32" ht="18" customHeight="1" x14ac:dyDescent="0.3">
      <c r="A84" s="206"/>
      <c r="B84" s="58" t="s">
        <v>497</v>
      </c>
      <c r="C84" s="518" t="s">
        <v>221</v>
      </c>
      <c r="D84" s="519" t="s">
        <v>222</v>
      </c>
      <c r="E84" s="20" t="s">
        <v>9</v>
      </c>
      <c r="F84" s="20" t="s">
        <v>10</v>
      </c>
      <c r="G84" s="20" t="s">
        <v>11</v>
      </c>
      <c r="H84" s="940">
        <f>IF(AnalysisTerm&gt;3,4,"")</f>
        <v>4</v>
      </c>
      <c r="I84" s="940">
        <f>IF(AnalysisTerm&gt;3,5,"")</f>
        <v>5</v>
      </c>
      <c r="J84" s="940">
        <f>$J$13</f>
        <v>6</v>
      </c>
      <c r="K84" s="940">
        <f>K$13</f>
        <v>7</v>
      </c>
      <c r="L84" s="940">
        <f t="shared" ref="L84:N84" si="21">L$13</f>
        <v>8</v>
      </c>
      <c r="M84" s="940">
        <f t="shared" si="21"/>
        <v>9</v>
      </c>
      <c r="N84" s="940">
        <f t="shared" si="21"/>
        <v>10</v>
      </c>
      <c r="O84" s="20" t="s">
        <v>17</v>
      </c>
      <c r="P84" s="95"/>
      <c r="Q84" s="100"/>
      <c r="R84" s="95"/>
      <c r="V84" s="943"/>
      <c r="W84" s="943"/>
      <c r="X84" s="943"/>
      <c r="Y84" s="943"/>
      <c r="Z84" s="943"/>
    </row>
    <row r="85" spans="1:32" ht="18" customHeight="1" x14ac:dyDescent="0.3">
      <c r="A85" s="61"/>
      <c r="B85" s="192" t="str">
        <f t="shared" ref="B85:B95" si="22">B56</f>
        <v>Compute</v>
      </c>
      <c r="C85" s="964">
        <f>Compute!F24/(1+AnalysisTerm*Compute!F23)+Compute!F86/(1+AnalysisTerm*Compute!F85)+Compute!F108+Compute!F135*(1+AnalysisTerm*Compute!F125)</f>
        <v>3596987.5</v>
      </c>
      <c r="D85" s="965">
        <f>Compute!F24/(1+AnalysisTerm*Compute!F23)*AnalysisTerm*Compute!F23+Compute!F86/(1+AnalysisTerm*Compute!F85)*AnalysisTerm*Compute!F85+Compute!F108*AnalysisTerm*Compute!F111+Compute!F135/(1+AnalysisTerm*Compute!F125)*AnalysisTerm</f>
        <v>5397680</v>
      </c>
      <c r="E85" s="858">
        <f>(Hardware_Refreshcylce+Growth)*$C85+MIN(SUM($E56:E56),1)*$D85*(1+Growth)/AnalysisTerm+(1-MIN(SUM($E56:E56),1))*$D71*(1+Growth)/AnalysisTerm</f>
        <v>2822297.5150000001</v>
      </c>
      <c r="F85" s="858">
        <f>((Hardware_Refreshcylce+(1+Growth)^2-(1+Growth))*$C85+MIN(SUM($E56:F56),1)*$D85*(1+Growth)^2/AnalysisTerm+(1-MIN(SUM($E56:F56),1))*$D71*(1+Growth)^2/AnalysisTerm)*(1+Inflation)^1</f>
        <v>2852284.4333824995</v>
      </c>
      <c r="G85" s="858">
        <f>((Hardware_Refreshcylce+(1+Growth)^3-(1+Growth)^2)*$C85+MIN(SUM($E56:G56),1)*$D85*(1+Growth)^3/AnalysisTerm+(1-MIN(SUM($E56:G56),1))*$D71*(1+Growth)^3/AnalysisTerm)*(1+Inflation)^2</f>
        <v>2870320.8358117142</v>
      </c>
      <c r="H85" s="858">
        <f>IF(AnalysisTerm&gt;3,((Hardware_Refreshcylce+(1+Growth)^4-(1+Growth)^3)*$C85+MIN(SUM($E56:H56),1)*$D85*(1+Growth)^4/AnalysisTerm+(1-MIN(SUM($E56:H56),1))*$D71*(1+Growth)^4/AnalysisTerm)*(1+Inflation)^3,"")</f>
        <v>2874316.84823921</v>
      </c>
      <c r="I85" s="858">
        <f>IF(AnalysisTerm&gt;3,((Hardware_Refreshcylce+(1+Growth)^5-(1+Growth)^4)*$C85+MIN(SUM($E56:I56),1)*$D85*(1+Growth)^5/AnalysisTerm+(1-MIN(SUM($E56:I56),1))*$D71*(1+Growth)^5/AnalysisTerm)*(1+Inflation)^4,"")</f>
        <v>2861923.0426810752</v>
      </c>
      <c r="J85" s="939">
        <f>IF(AnalysisTerm&gt;5,((Hardware_Refreshcylce+(1+Growth)^J$84-(1+Growth)^I$84)*$C85+MIN(SUM($E56:J56),1)*$D85*(1+Growth)^J$84/AnalysisTerm+(1-MIN(SUM($E56:J56),1))*$D71*(1+Growth)^J$84/AnalysisTerm)*(1+Inflation)^I$84,"")</f>
        <v>2830502.0629089088</v>
      </c>
      <c r="K85" s="939">
        <f>IF(AnalysisTerm&gt;5,((Hardware_Refreshcylce+(1+Growth)^K$84-(1+Growth)^J$84)*$C85+MIN(SUM($E56:K56),1)*$D85*(1+Growth)^K$84/AnalysisTerm+(1-MIN(SUM($E56:K56),1))*$D71*(1+Growth)^K$84/AnalysisTerm)*(1+Inflation)^J$84,"")</f>
        <v>2777097.3506961167</v>
      </c>
      <c r="L85" s="939">
        <f>IF(AnalysisTerm&gt;$K$84,((Hardware_Refreshcylce+(1+Growth)^L$84-(1+Growth)^K$84)*$C85+MIN(SUM($E56:L56),1)*$D85*(1+Growth)^L$84/AnalysisTerm+(1-MIN(SUM($E56:L56),1))*$D71*(1+Growth)^L$84/AnalysisTerm)*(1+Inflation)^K$84,"")</f>
        <v>2698398.6885255328</v>
      </c>
      <c r="M85" s="939">
        <f>IF(AnalysisTerm&gt;$K$84,((Hardware_Refreshcylce+(1+Growth)^M$84-(1+Growth)^L$84)*$C85+MIN(SUM($E56:M56),1)*$D85*(1+Growth)^M$84/AnalysisTerm+(1-MIN(SUM($E56:M56),1))*$D71*(1+Growth)^M$84/AnalysisTerm)*(1+Inflation)^L$84,"")</f>
        <v>2590704.2476175483</v>
      </c>
      <c r="N85" s="939">
        <f>IF(AnalysisTerm&gt;$K$84,((Hardware_Refreshcylce+(1+Growth)^N$84-(1+Growth)^M$84)*$C85+MIN(SUM($E56:N56),1)*$D85*(1+Growth)^N$84/AnalysisTerm+(1-MIN(SUM($E56:N56),1))*$D71*(1+Growth)^N$84/AnalysisTerm)*(1+Inflation)^M$84,"")</f>
        <v>2449878.8005689871</v>
      </c>
      <c r="O85" s="858">
        <f t="shared" ref="O85:O95" si="23">SUM(E85:N85)</f>
        <v>27627723.825431589</v>
      </c>
      <c r="P85" s="95"/>
      <c r="Q85" s="672" t="s">
        <v>729</v>
      </c>
      <c r="R85" s="95"/>
      <c r="V85" s="942"/>
      <c r="W85" s="942"/>
      <c r="X85" s="942"/>
      <c r="Y85" s="942"/>
      <c r="Z85" s="942"/>
    </row>
    <row r="86" spans="1:32" ht="18" customHeight="1" x14ac:dyDescent="0.3">
      <c r="A86" s="61"/>
      <c r="B86" s="192" t="str">
        <f t="shared" si="22"/>
        <v>Storage</v>
      </c>
      <c r="C86" s="437">
        <f>Storage!F34/(1+AnalysisTerm*Storage!F33)+Compute!F109</f>
        <v>1176000</v>
      </c>
      <c r="D86" s="438">
        <f>Storage!F34/(1+AnalysisTerm*Storage!F33)*AnalysisTerm*Storage!F33+Compute!F109*AnalysisTerm*Compute!F111</f>
        <v>1764000</v>
      </c>
      <c r="E86" s="858">
        <f>(Hardware_Refreshcylce+Growth)*$C86+MIN(SUM($E57:E57),1)*$D86*(1+Growth)/AnalysisTerm+(1-MIN(SUM($E57:E57),1))*$D72*(1+Growth)/AnalysisTerm</f>
        <v>990896.95950000011</v>
      </c>
      <c r="F86" s="858">
        <f>((Hardware_Refreshcylce+(1+Growth)^2-(1+Growth))*$C86+MIN(SUM($E57:F57),1)*$D86*(1+Growth)^2/AnalysisTerm+(1-MIN(SUM($E57:F57),1))*$D72*(1+Growth)^2/AnalysisTerm)*(1+Inflation)^1</f>
        <v>998055.74706600013</v>
      </c>
      <c r="G86" s="858">
        <f>((Hardware_Refreshcylce+(1+Growth)^3-(1+Growth)^2)*$C86+MIN(SUM($E57:G57),1)*$D86*(1+Growth)^3/AnalysisTerm+(1-MIN(SUM($E57:G57),1))*$D72*(1+Growth)^3/AnalysisTerm)*(1+Inflation)^2</f>
        <v>1000423.4408760191</v>
      </c>
      <c r="H86" s="858">
        <f>IF(AnalysisTerm&gt;3,((Hardware_Refreshcylce+(1+Growth)^4-(1+Growth)^3)*$C86+MIN(SUM($E57:H57),1)*$D86*(1+Growth)^4/AnalysisTerm+(1-MIN(SUM($E57:H57),1))*$D72*(1+Growth)^4/AnalysisTerm)*(1+Inflation)^3,"")</f>
        <v>997190.25646712189</v>
      </c>
      <c r="I86" s="858">
        <f>IF(AnalysisTerm&gt;3,((Hardware_Refreshcylce+(1+Growth)^5-(1+Growth)^4)*$C86+MIN(SUM($E57:I57),1)*$D86*(1+Growth)^5/AnalysisTerm+(1-MIN(SUM($E57:I57),1))*$D72*(1+Growth)^5/AnalysisTerm)*(1+Inflation)^4,"")</f>
        <v>987446.7995796965</v>
      </c>
      <c r="J86" s="939">
        <f>IF(AnalysisTerm&gt;5,((Hardware_Refreshcylce+(1+Growth)^J$84-(1+Growth)^I$84)*$C86+MIN(SUM($E57:J57),1)*$D86*(1+Growth)^J$84/AnalysisTerm+(1-MIN(SUM($E57:J57),1))*$D72*(1+Growth)^J$84/AnalysisTerm)*(1+Inflation)^I$84,"")</f>
        <v>970173.22539428947</v>
      </c>
      <c r="K86" s="939">
        <f>IF(AnalysisTerm&gt;5,((Hardware_Refreshcylce+(1+Growth)^K$84-(1+Growth)^J$84)*$C86+MIN(SUM($E57:K57),1)*$D86*(1+Growth)^K$84/AnalysisTerm+(1-MIN(SUM($E57:K57),1))*$D72*(1+Growth)^K$84/AnalysisTerm)*(1+Inflation)^J$84,"")</f>
        <v>944227.2928625131</v>
      </c>
      <c r="L86" s="939">
        <f>IF(AnalysisTerm&gt;$K$84,((Hardware_Refreshcylce+(1+Growth)^L$84-(1+Growth)^K$84)*$C86+MIN(SUM($E57:L57),1)*$D86*(1+Growth)^L$84/AnalysisTerm+(1-MIN(SUM($E57:L57),1))*$D72*(1+Growth)^L$84/AnalysisTerm)*(1+Inflation)^K$84,"")</f>
        <v>908331.20605455048</v>
      </c>
      <c r="M86" s="939">
        <f>IF(AnalysisTerm&gt;$K$84,((Hardware_Refreshcylce+(1+Growth)^M$84-(1+Growth)^L$84)*$C86+MIN(SUM($E57:M57),1)*$D86*(1+Growth)^M$84/AnalysisTerm+(1-MIN(SUM($E57:M57),1))*$D72*(1+Growth)^M$84/AnalysisTerm)*(1+Inflation)^L$84,"")</f>
        <v>861057.12416873092</v>
      </c>
      <c r="N86" s="939">
        <f>IF(AnalysisTerm&gt;$K$84,((Hardware_Refreshcylce+(1+Growth)^N$84-(1+Growth)^M$84)*$C86+MIN(SUM($E57:N57),1)*$D86*(1+Growth)^N$84/AnalysisTerm+(1-MIN(SUM($E57:N57),1))*$D72*(1+Growth)^N$84/AnalysisTerm)*(1+Inflation)^M$84,"")</f>
        <v>800811.21061419777</v>
      </c>
      <c r="O86" s="858">
        <f t="shared" si="23"/>
        <v>9458613.2625831198</v>
      </c>
      <c r="P86" s="95"/>
      <c r="Q86" s="672" t="s">
        <v>729</v>
      </c>
      <c r="R86" s="95"/>
      <c r="V86" s="942"/>
      <c r="W86" s="942"/>
      <c r="X86" s="942"/>
      <c r="Y86" s="942"/>
      <c r="Z86" s="942"/>
    </row>
    <row r="87" spans="1:32" ht="18" customHeight="1" x14ac:dyDescent="0.3">
      <c r="A87" s="61"/>
      <c r="B87" s="192" t="str">
        <f t="shared" si="22"/>
        <v>Network</v>
      </c>
      <c r="C87" s="437">
        <f>Network!F19/(1+AnalysisTerm*Network!F18)+Network!F34/(1+AnalysisTerm*Network!F33)+Network!F56/(1+AnalysisTerm*Network!F55)+Compute!F110</f>
        <v>357500</v>
      </c>
      <c r="D87" s="438">
        <f>Network!F19/(1+AnalysisTerm*Network!F18)*AnalysisTerm*Network!F18+Network!F34/(1+AnalysisTerm*Network!F33)*AnalysisTerm*Network!F33+Network!F56/(1+AnalysisTerm*Network!F55)*AnalysisTerm*Network!F55+Compute!F110*AnalysisTerm*Compute!F111</f>
        <v>536250</v>
      </c>
      <c r="E87" s="858">
        <f>(Hardware_Refreshcylce+Growth)*$C87+MIN(SUM($E58:E58),1)*$D87*(1+Growth)/AnalysisTerm+(1-MIN(SUM($E58:E58),1))*$D73*(1+Growth)/AnalysisTerm</f>
        <v>280077.44900000002</v>
      </c>
      <c r="F87" s="858">
        <f>((Hardware_Refreshcylce+(1+Growth)^2-(1+Growth))*$C87+MIN(SUM($E58:F58),1)*$D87*(1+Growth)^2/AnalysisTerm+(1-MIN(SUM($E58:F58),1))*$D73*(1+Growth)^2/AnalysisTerm)*(1+Inflation)^1</f>
        <v>283071.56784700003</v>
      </c>
      <c r="G87" s="858">
        <f>((Hardware_Refreshcylce+(1+Growth)^3-(1+Growth)^2)*$C87+MIN(SUM($E58:G58),1)*$D87*(1+Growth)^3/AnalysisTerm+(1-MIN(SUM($E58:G58),1))*$D73*(1+Growth)^3/AnalysisTerm)*(1+Inflation)^2</f>
        <v>284883.01950544072</v>
      </c>
      <c r="H87" s="858">
        <f>IF(AnalysisTerm&gt;3,((Hardware_Refreshcylce+(1+Growth)^4-(1+Growth)^3)*$C87+MIN(SUM($E58:H58),1)*$D87*(1+Growth)^4/AnalysisTerm+(1-MIN(SUM($E58:H58),1))*$D73*(1+Growth)^4/AnalysisTerm)*(1+Inflation)^3,"")</f>
        <v>285304.83061392553</v>
      </c>
      <c r="I87" s="858">
        <f>IF(AnalysisTerm&gt;3,((Hardware_Refreshcylce+(1+Growth)^5-(1+Growth)^4)*$C87+MIN(SUM($E58:I58),1)*$D87*(1+Growth)^5/AnalysisTerm+(1-MIN(SUM($E58:I58),1))*$D73*(1+Growth)^5/AnalysisTerm)*(1+Inflation)^4,"")</f>
        <v>284104.31739657104</v>
      </c>
      <c r="J87" s="939">
        <f>IF(AnalysisTerm&gt;5,((Hardware_Refreshcylce+(1+Growth)^J$84-(1+Growth)^I$84)*$C87+MIN(SUM($E58:J58),1)*$D87*(1+Growth)^J$84/AnalysisTerm+(1-MIN(SUM($E58:J58),1))*$D73*(1+Growth)^J$84/AnalysisTerm)*(1+Inflation)^I$84,"")</f>
        <v>281020.27475442324</v>
      </c>
      <c r="K87" s="939">
        <f>IF(AnalysisTerm&gt;5,((Hardware_Refreshcylce+(1+Growth)^K$84-(1+Growth)^J$84)*$C87+MIN(SUM($E58:K58),1)*$D87*(1+Growth)^K$84/AnalysisTerm+(1-MIN(SUM($E58:K58),1))*$D73*(1+Growth)^K$84/AnalysisTerm)*(1+Inflation)^J$84,"")</f>
        <v>275759.87810738292</v>
      </c>
      <c r="L87" s="939">
        <f>IF(AnalysisTerm&gt;$K$84,((Hardware_Refreshcylce+(1+Growth)^L$84-(1+Growth)^K$84)*$C87+MIN(SUM($E58:L58),1)*$D87*(1+Growth)^L$84/AnalysisTerm+(1-MIN(SUM($E58:L58),1))*$D73*(1+Growth)^L$84/AnalysisTerm)*(1+Inflation)^K$84,"")</f>
        <v>267995.26984033169</v>
      </c>
      <c r="M87" s="939">
        <f>IF(AnalysisTerm&gt;$K$84,((Hardware_Refreshcylce+(1+Growth)^M$84-(1+Growth)^L$84)*$C87+MIN(SUM($E58:M58),1)*$D87*(1+Growth)^M$84/AnalysisTerm+(1-MIN(SUM($E58:M58),1))*$D73*(1+Growth)^M$84/AnalysisTerm)*(1+Inflation)^L$84,"")</f>
        <v>257359.79952744071</v>
      </c>
      <c r="N87" s="939">
        <f>IF(AnalysisTerm&gt;$K$84,((Hardware_Refreshcylce+(1+Growth)^N$84-(1+Growth)^M$84)*$C87+MIN(SUM($E58:N58),1)*$D87*(1+Growth)^N$84/AnalysisTerm+(1-MIN(SUM($E58:N58),1))*$D73*(1+Growth)^N$84/AnalysisTerm)*(1+Inflation)^M$84,"")</f>
        <v>243443.88417906096</v>
      </c>
      <c r="O87" s="858">
        <f t="shared" si="23"/>
        <v>2743020.2907715766</v>
      </c>
      <c r="P87" s="955"/>
      <c r="Q87" s="672" t="s">
        <v>729</v>
      </c>
      <c r="R87" s="95"/>
      <c r="V87" s="944"/>
      <c r="W87" s="944"/>
      <c r="X87" s="944"/>
      <c r="Y87" s="944"/>
      <c r="Z87" s="944"/>
    </row>
    <row r="88" spans="1:32" ht="18" customHeight="1" x14ac:dyDescent="0.3">
      <c r="A88" s="61"/>
      <c r="B88" s="192" t="str">
        <f t="shared" si="22"/>
        <v>Software</v>
      </c>
      <c r="C88" s="437" t="s">
        <v>0</v>
      </c>
      <c r="D88" s="957">
        <f>'ROI Results'!O37+Software!F21+Software!F34+Software!F10</f>
        <v>8881408</v>
      </c>
      <c r="E88" s="958">
        <f>'ROI Results'!E37+(MIN(SUM($E59:E59),1)*(Software!$F$21+Software!$F$34)/AnalysisTerm+(1-MIN(SUM($E59:E59),1))*(Software!$F$18+Software!$F$30)/AnalysisTerm)*(1+Growth)+Software!$F$10/AnalysisTerm</f>
        <v>1638140.8</v>
      </c>
      <c r="F88" s="958">
        <f>'ROI Results'!F37+(MIN(SUM($E59:F59),1)*(Software!$F$21+Software!$F$34)/AnalysisTerm+(1-MIN(SUM($E59:F59),1))*(Software!$F$18+Software!$F$30)/AnalysisTerm)*(1+Growth)^2*(1+Inflation)^1+Software!$F$10/AnalysisTerm</f>
        <v>1638140.8</v>
      </c>
      <c r="G88" s="958">
        <f>'ROI Results'!G37+(MIN(SUM($E59:G59),1)*(Software!$F$21+Software!$F$34)/AnalysisTerm+(1-MIN(SUM($E59:G59),1))*(Software!$F$18+Software!$F$30)/AnalysisTerm)*(1+Growth)^3*(1+Inflation)^2+Software!$F$10/AnalysisTerm</f>
        <v>1638140.8</v>
      </c>
      <c r="H88" s="958">
        <f>IF(AnalysisTerm&gt;3,'ROI Results'!H37+(MIN(SUM($E59:H59),1)*(Software!$F$21+Software!$F$34)/AnalysisTerm+(1-MIN(SUM($E59:H59),1))*(Software!$F$18+Software!$F$30)/AnalysisTerm)*(1+Growth)^4*(1+Inflation)^3+Software!$F$10/AnalysisTerm,"")</f>
        <v>1638140.8</v>
      </c>
      <c r="I88" s="958">
        <f>IF(AnalysisTerm&gt;3,'ROI Results'!I37+(MIN(SUM($E59:I59),1)*(Software!$F$21+Software!$F$34)/AnalysisTerm+(1-MIN(SUM($E59:I59),1))*(Software!$F$18+Software!$F$30)/AnalysisTerm)*(1+Growth)^5*(1+Inflation)^4+Software!$F$10/AnalysisTerm,"")</f>
        <v>1638140.8</v>
      </c>
      <c r="J88" s="934">
        <f>IF(AnalysisTerm&gt;5,'ROI Results'!J37+(MIN(SUM($E59:J59),1)*(Software!$F$21+Software!$F$34)/AnalysisTerm+(1-MIN(SUM($E59:J59),1))*(Software!$F$18+Software!$F$30)/AnalysisTerm)*(1+Growth)^J$84*(1+Inflation)^I$84+Software!$F$10/AnalysisTerm,"")</f>
        <v>138140.79999999999</v>
      </c>
      <c r="K88" s="934">
        <f>IF(AnalysisTerm&gt;5,'ROI Results'!K37+(MIN(SUM($E59:K59),1)*(Software!$F$21+Software!$F$34)/AnalysisTerm+(1-MIN(SUM($E59:K59),1))*(Software!$F$18+Software!$F$30)/AnalysisTerm)*(1+Growth)^K$84*(1+Inflation)^J$84+Software!$F$10/AnalysisTerm,"")</f>
        <v>138140.79999999999</v>
      </c>
      <c r="L88" s="934">
        <f>IF(AnalysisTerm&gt;$K$84,'ROI Results'!L37+(MIN(SUM($E59:L59),1)*(Software!$F$21+Software!$F$34)/AnalysisTerm+(1-MIN(SUM($E59:L59),1))*(Software!$F$18+Software!$F$30)/AnalysisTerm)*(1+Growth)^L$84*(1+Inflation)^K$84+Software!$F$10/AnalysisTerm,"")</f>
        <v>138140.79999999999</v>
      </c>
      <c r="M88" s="934">
        <f>IF(AnalysisTerm&gt;$K$84,'ROI Results'!M37+(MIN(SUM($E59:M59),1)*(Software!$F$21+Software!$F$34)/AnalysisTerm+(1-MIN(SUM($E59:M59),1))*(Software!$F$18+Software!$F$30)/AnalysisTerm)*(1+Growth)^M$84*(1+Inflation)^L$84+Software!$F$10/AnalysisTerm,"")</f>
        <v>138140.79999999999</v>
      </c>
      <c r="N88" s="934">
        <f>IF(AnalysisTerm&gt;$K$84,'ROI Results'!N37+(MIN(SUM($E59:N59),1)*(Software!$F$21+Software!$F$34)/AnalysisTerm+(1-MIN(SUM($E59:N59),1))*(Software!$F$18+Software!$F$30)/AnalysisTerm)*(1+Growth)^N$84*(1+Inflation)^M$84+Software!$F$10/AnalysisTerm,"")</f>
        <v>138140.79999999999</v>
      </c>
      <c r="O88" s="858">
        <f t="shared" si="23"/>
        <v>8881408.0000000019</v>
      </c>
      <c r="P88" s="955"/>
      <c r="Q88" s="672" t="s">
        <v>732</v>
      </c>
      <c r="R88" s="95"/>
    </row>
    <row r="89" spans="1:32" ht="18" customHeight="1" x14ac:dyDescent="0.3">
      <c r="A89" s="61"/>
      <c r="B89" s="192" t="str">
        <f t="shared" si="22"/>
        <v>Facilities</v>
      </c>
      <c r="C89" s="437" t="s">
        <v>0</v>
      </c>
      <c r="D89" s="957">
        <f>Facilities!F21</f>
        <v>7763470</v>
      </c>
      <c r="E89" s="958">
        <f>(MIN(SUM($E60:E60),1)*$D89/AnalysisTerm+(1-MIN(SUM($E60:E60),1))*$D75/AnalysisTerm)*(1+Growth/2)</f>
        <v>2315956.1554999999</v>
      </c>
      <c r="F89" s="958">
        <f>((MIN(SUM($E60:F60),1)*$D89/AnalysisTerm+(1-MIN(SUM($E60:F60),1))*$D75/AnalysisTerm)*(1+Growth/2)*(1+Growth))*(1+Inflation)^1</f>
        <v>2322029.1577665005</v>
      </c>
      <c r="G89" s="958">
        <f>((MIN(SUM($E60:G60),1)*$D89/AnalysisTerm+(1-MIN(SUM($E60:G60),1))*$D75/AnalysisTerm)*(1+Growth/2)*(1+Growth)^2)*(1+Inflation)^2</f>
        <v>2313708.8996285694</v>
      </c>
      <c r="H89" s="958">
        <f>IF(AnalysisTerm&gt;3,((MIN(SUM($E60:H60),1)*$D89/AnalysisTerm+(1-MIN(SUM($E60:H60),1))*$D75/AnalysisTerm)*(1+Growth/2)*(1+Growth)^3)*(1+Inflation)^3,"")</f>
        <v>2288608.9412409822</v>
      </c>
      <c r="I89" s="958">
        <f>IF(AnalysisTerm&gt;3,((MIN(SUM($E60:I60),1)*$D89/AnalysisTerm+(1-MIN(SUM($E60:I60),1))*$D75/AnalysisTerm)*(1+Growth/2)*(1+Growth)^4)*(1+Inflation)^4,"")</f>
        <v>2244049.4566976596</v>
      </c>
      <c r="J89" s="858">
        <f>IF(AnalysisTerm&gt;$I$84,((MIN(SUM($E60:J60),1)*$D89/AnalysisTerm+(1-MIN(SUM($E60:J60),1))*$D75/AnalysisTerm)*(1+Growth/2)*(1+Growth)^J$84)*(1+Inflation)^I$84,"")</f>
        <v>2285876.5266055083</v>
      </c>
      <c r="K89" s="858">
        <f>IF(AnalysisTerm&gt;$I$84,((MIN(SUM($E60:K60),1)*$D89/AnalysisTerm+(1-MIN(SUM($E60:K60),1))*$D75/AnalysisTerm)*(1+Growth/2)*(1+Growth)^K$84)*(1+Inflation)^J$84,"")</f>
        <v>2188379.1186224315</v>
      </c>
      <c r="L89" s="858">
        <f>IF(AnalysisTerm&gt;$K$84,((MIN(SUM($E60:L60),1)*$D89/AnalysisTerm+(1-MIN(SUM($E60:L60),1))*$D75/AnalysisTerm)*(1+Growth/2)*(1+Growth)^L$84)*(1+Inflation)^K$84,"")</f>
        <v>2059806.2697792666</v>
      </c>
      <c r="M89" s="858">
        <f>IF(AnalysisTerm&gt;$K$84,((MIN(SUM($E60:M60),1)*$D89/AnalysisTerm+(1-MIN(SUM($E60:M60),1))*$D75/AnalysisTerm)*(1+Growth/2)*(1+Growth)^M$84)*(1+Inflation)^L$84,"")</f>
        <v>1895740.285373996</v>
      </c>
      <c r="N89" s="858">
        <f>IF(AnalysisTerm&gt;$K$84,((MIN(SUM($E60:N60),1)*$D89/AnalysisTerm+(1-MIN(SUM($E60:N60),1))*$D75/AnalysisTerm)*(1+Growth/2)*(1+Growth)^N$84)*(1+Inflation)^M$84,"")</f>
        <v>1691249.797315225</v>
      </c>
      <c r="O89" s="858">
        <f t="shared" si="23"/>
        <v>21605404.608530141</v>
      </c>
      <c r="P89" s="955"/>
      <c r="Q89" s="672" t="s">
        <v>730</v>
      </c>
      <c r="R89" s="95"/>
    </row>
    <row r="90" spans="1:32" ht="18" customHeight="1" x14ac:dyDescent="0.3">
      <c r="A90" s="61"/>
      <c r="B90" s="192" t="str">
        <f t="shared" si="22"/>
        <v>Labor</v>
      </c>
      <c r="C90" s="437" t="s">
        <v>0</v>
      </c>
      <c r="D90" s="957">
        <f ca="1">Labor!F128</f>
        <v>23764409.306875002</v>
      </c>
      <c r="E90" s="958">
        <f ca="1">(MIN(SUM($E61:E61),1)*$D90/AnalysisTerm+(1-MIN(SUM($E61:E61),1))*$D76/AnalysisTerm)*(1+Growth/2)</f>
        <v>4372744.5465394054</v>
      </c>
      <c r="F90" s="958">
        <f ca="1">((MIN(SUM($E61:F61),1)*$D90/AnalysisTerm+(1-MIN(SUM($E61:F61),1))*$D76/AnalysisTerm)*(1+Growth/2)*(1+Growth))*(1+Inflation)^1</f>
        <v>4496373.3005401036</v>
      </c>
      <c r="G90" s="958">
        <f ca="1">((MIN(SUM($E61:G61),1)*$D90/AnalysisTerm+(1-MIN(SUM($E61:G61),1))*$D76/AnalysisTerm)*(1+Growth/2)*(1+Growth)^2)*(1+Inflation)^2</f>
        <v>4611108.6789786639</v>
      </c>
      <c r="H90" s="958">
        <f ca="1">IF(AnalysisTerm&gt;3,((MIN(SUM($E61:H61),1)*$D90/AnalysisTerm+(1-MIN(SUM($E61:H61),1))*$D76/AnalysisTerm)*(1+Growth/2)*(1+Growth)^3)*(1+Inflation)^3,"")</f>
        <v>4714679.888547197</v>
      </c>
      <c r="I90" s="958">
        <f ca="1">IF(AnalysisTerm&gt;3,((MIN(SUM($E61:I61),1)*$D90/AnalysisTerm+(1-MIN(SUM($E61:I61),1))*$D76/AnalysisTerm)*(1+Growth/2)*(1+Growth)^4)*(1+Inflation)^4,"")</f>
        <v>4804505.0686524538</v>
      </c>
      <c r="J90" s="858">
        <f ca="1">IF(AnalysisTerm&gt;$I$84,((MIN(SUM($E61:J61),1)*$D90/AnalysisTerm+(1-MIN(SUM($E61:J61),1))*$D76/AnalysisTerm)*(1+Growth/2)*(1+Growth)^J$84)*(1+Inflation)^I$84,"")</f>
        <v>5121538.4541564258</v>
      </c>
      <c r="K90" s="858">
        <f ca="1">IF(AnalysisTerm&gt;$I$84,((MIN(SUM($E61:K61),1)*$D90/AnalysisTerm+(1-MIN(SUM($E61:K61),1))*$D76/AnalysisTerm)*(1+Growth/2)*(1+Growth)^K$84)*(1+Inflation)^J$84,"")</f>
        <v>5177357.9517735345</v>
      </c>
      <c r="L90" s="858">
        <f ca="1">IF(AnalysisTerm&gt;$K$84,((MIN(SUM($E61:L61),1)*$D90/AnalysisTerm+(1-MIN(SUM($E61:L61),1))*$D76/AnalysisTerm)*(1+Growth/2)*(1+Growth)^L$84)*(1+Inflation)^K$84,"")</f>
        <v>5208257.4887051107</v>
      </c>
      <c r="M90" s="858">
        <f ca="1">IF(AnalysisTerm&gt;$K$84,((MIN(SUM($E61:M61),1)*$D90/AnalysisTerm+(1-MIN(SUM($E61:M61),1))*$D76/AnalysisTerm)*(1+Growth/2)*(1+Growth)^M$84)*(1+Inflation)^L$84,"")</f>
        <v>5209804.3443013653</v>
      </c>
      <c r="N90" s="858">
        <f ca="1">IF(AnalysisTerm&gt;$K$84,((MIN(SUM($E61:N61),1)*$D90/AnalysisTerm+(1-MIN(SUM($E61:N61),1))*$D76/AnalysisTerm)*(1+Growth/2)*(1+Growth)^N$84)*(1+Inflation)^M$84,"")</f>
        <v>5177008.7890554592</v>
      </c>
      <c r="O90" s="858">
        <f t="shared" ca="1" si="23"/>
        <v>48893378.511249721</v>
      </c>
      <c r="P90" s="955"/>
      <c r="Q90" s="672" t="s">
        <v>730</v>
      </c>
      <c r="R90" s="95"/>
    </row>
    <row r="91" spans="1:32" ht="18" customHeight="1" x14ac:dyDescent="0.3">
      <c r="A91" s="206"/>
      <c r="B91" s="192" t="str">
        <f t="shared" si="22"/>
        <v>Support</v>
      </c>
      <c r="C91" s="437" t="s">
        <v>0</v>
      </c>
      <c r="D91" s="959">
        <f>'ROI Results'!O40+Support!F10</f>
        <v>1375000</v>
      </c>
      <c r="E91" s="958">
        <f>MIN(SUM($E62:E62),1)*$D91/AnalysisTerm+(1-MIN(SUM($E62:E62),1))*$D77/AnalysisTerm</f>
        <v>137500</v>
      </c>
      <c r="F91" s="958">
        <f>MIN(SUM($E62:F62),1)*$D91/AnalysisTerm+(1-MIN(SUM($E62:F62),1))*$D77/AnalysisTerm</f>
        <v>137500</v>
      </c>
      <c r="G91" s="958">
        <f>MIN(SUM($E62:G62),1)*$D91/AnalysisTerm+(1-MIN(SUM($E62:G62),1))*$D77/AnalysisTerm</f>
        <v>137500</v>
      </c>
      <c r="H91" s="958">
        <f>IF(AnalysisTerm&gt;3,MIN(SUM($E62:H62),1)*$D91/AnalysisTerm+(1-MIN(SUM($E62:H62),1))*$D77/AnalysisTerm,"")</f>
        <v>137500</v>
      </c>
      <c r="I91" s="958">
        <f>IF(AnalysisTerm&gt;3,MIN(SUM($E62:I62),1)*$D91/AnalysisTerm+(1-MIN(SUM($E62:I62),1))*$D77/AnalysisTerm,"")</f>
        <v>137500</v>
      </c>
      <c r="J91" s="858">
        <f>IF(AnalysisTerm&gt;5,MIN(SUM($E62:J62),1)*$D91/AnalysisTerm+(1-MIN(SUM($E62:J62),1))*$D77/AnalysisTerm,"")</f>
        <v>137500</v>
      </c>
      <c r="K91" s="858">
        <f>IF(AnalysisTerm&gt;5,MIN(SUM($E62:K62),1)*$D91/AnalysisTerm+(1-MIN(SUM($E62:K62),1))*$D77/AnalysisTerm,"")</f>
        <v>137500</v>
      </c>
      <c r="L91" s="858">
        <f>IF(AnalysisTerm&gt;$K$84,MIN(SUM($E62:L62),1)*$D91/AnalysisTerm+(1-MIN(SUM($E62:L62),1))*$D77/AnalysisTerm,"")</f>
        <v>137500</v>
      </c>
      <c r="M91" s="858">
        <f>IF(AnalysisTerm&gt;$K$84,MIN(SUM($E62:M62),1)*$D91/AnalysisTerm+(1-MIN(SUM($E62:M62),1))*$D77/AnalysisTerm,"")</f>
        <v>137500</v>
      </c>
      <c r="N91" s="858">
        <f>IF(AnalysisTerm&gt;$K$84,MIN(SUM($E62:N62),1)*$D91/AnalysisTerm+(1-MIN(SUM($E62:N62),1))*$D77/AnalysisTerm,"")</f>
        <v>137500</v>
      </c>
      <c r="O91" s="858">
        <f t="shared" si="23"/>
        <v>1375000</v>
      </c>
      <c r="P91" s="955"/>
      <c r="Q91" s="672" t="s">
        <v>725</v>
      </c>
      <c r="R91" s="95"/>
    </row>
    <row r="92" spans="1:32" ht="18" customHeight="1" x14ac:dyDescent="0.3">
      <c r="A92" s="61"/>
      <c r="B92" s="192" t="str">
        <f t="shared" si="22"/>
        <v>Migration</v>
      </c>
      <c r="C92" s="539">
        <f ca="1">MAX('Migration - Reskilling'!F14,O38)</f>
        <v>1218750</v>
      </c>
      <c r="D92" s="960" t="s">
        <v>0</v>
      </c>
      <c r="E92" s="958">
        <f ca="1">IF('Migration - Reskilling'!$F$14&gt;$O$38,E63*$C92*(1+Growth/2),E38)</f>
        <v>124921.87499999999</v>
      </c>
      <c r="F92" s="958">
        <f ca="1">IF('Migration - Reskilling'!$F$14&gt;$O$38,F63*$C92*(1+Growth/2)*(1+Growth)*(1+Inflation)^1,F38)</f>
        <v>135103.0078125</v>
      </c>
      <c r="G92" s="958">
        <f ca="1">IF('Migration - Reskilling'!$F$14&gt;$O$38,G63*$C92*(1+Growth/2)*(1+Growth)^2*(1+Inflation)^2,G38)</f>
        <v>146113.90294921875</v>
      </c>
      <c r="H92" s="958">
        <f ca="1">IF(AnalysisTerm&gt;3,IF('Migration - Reskilling'!$F$14&gt;$O$38,H63*$C92*(1+Growth/2)*(1+Growth)^3*(1+Inflation)^3,H38),"")</f>
        <v>158022.18603958009</v>
      </c>
      <c r="I92" s="958">
        <f ca="1">IF(AnalysisTerm&gt;3,IF('Migration - Reskilling'!$F$14&gt;$O$38,I63*$C92*(1+Growth/2)*(1+Growth)^4*(1+Inflation)^4,I38),"")</f>
        <v>170900.99420180582</v>
      </c>
      <c r="J92" s="858">
        <f ca="1">IF(AnalysisTerm&gt;5,IF('Migration - Reskilling'!$F$14&gt;$O$38,J63*$C92*(1+Growth/2)*(1+Growth)^J$84*(1+Inflation)^I$84,J38),"")</f>
        <v>194070.89649071562</v>
      </c>
      <c r="K92" s="858">
        <f ca="1">IF(AnalysisTerm&gt;5,IF('Migration - Reskilling'!$F$14&gt;$O$38,K63*$C92*(1+Growth/2)*(1+Growth)^K$84*(1+Inflation)^J$84,K38),"")</f>
        <v>209887.674554709</v>
      </c>
      <c r="L92" s="858">
        <f ca="1">IF(AnalysisTerm&gt;7,IF('Migration - Reskilling'!$F$14&gt;$O$38,L63*$C92*(1+Growth/2)*(1+Growth)^L$84*(1+Inflation)^K$84,L38),"")</f>
        <v>226993.52003091777</v>
      </c>
      <c r="M92" s="858">
        <f ca="1">IF(AnalysisTerm&gt;7,IF('Migration - Reskilling'!$F$14&gt;$O$38,M63*$C92*(1+Growth/2)*(1+Growth)^M$84*(1+Inflation)^L$84,M38),"")</f>
        <v>245493.49191343758</v>
      </c>
      <c r="N92" s="858">
        <f ca="1">IF(AnalysisTerm&gt;7,IF('Migration - Reskilling'!$F$14&gt;$O$38,N63*$C92*(1+Growth/2)*(1+Growth)^N$84*(1+Inflation)^M$84,N38),"")</f>
        <v>265501.21150438272</v>
      </c>
      <c r="O92" s="858">
        <f t="shared" ca="1" si="23"/>
        <v>1877008.7604972676</v>
      </c>
      <c r="P92" s="955"/>
      <c r="Q92" s="672" t="s">
        <v>731</v>
      </c>
      <c r="R92" s="95"/>
    </row>
    <row r="93" spans="1:32" ht="18" customHeight="1" x14ac:dyDescent="0.3">
      <c r="A93" s="206"/>
      <c r="B93" s="192" t="str">
        <f t="shared" si="22"/>
        <v>One-time Reskilling</v>
      </c>
      <c r="C93" s="437" t="s">
        <v>0</v>
      </c>
      <c r="D93" s="438">
        <f ca="1">MAX('Migration - Reskilling'!F29,O39)</f>
        <v>156000</v>
      </c>
      <c r="E93" s="209">
        <f ca="1">IF('Migration - Reskilling'!$F$29&gt;$O$39,$D$93*E64,E39)</f>
        <v>156000</v>
      </c>
      <c r="F93" s="209">
        <f ca="1">IF('Migration - Reskilling'!$F$29&gt;$O$39,$D$93*F64,F39)</f>
        <v>0</v>
      </c>
      <c r="G93" s="209">
        <f ca="1">IF('Migration - Reskilling'!$F$29&gt;$O$39,$D$93*G64,G39)</f>
        <v>0</v>
      </c>
      <c r="H93" s="209">
        <f ca="1">IF(AnalysisTerm&gt;3,IF('Migration - Reskilling'!$F$29&gt;$O$39,$D$93*H64,H39),"")</f>
        <v>0</v>
      </c>
      <c r="I93" s="209">
        <f ca="1">IF(AnalysisTerm&gt;3,IF('Migration - Reskilling'!$F$29&gt;$O$39,$D$93*I64,I39),"")</f>
        <v>0</v>
      </c>
      <c r="J93" s="858">
        <f ca="1">IF(AnalysisTerm&gt;5,IF('Migration - Reskilling'!$F$29&gt;$O$39,$D$93*J64,J39),"")</f>
        <v>0</v>
      </c>
      <c r="K93" s="858">
        <f ca="1">IF(AnalysisTerm&gt;5,IF('Migration - Reskilling'!$F$29&gt;$O$39,$D$93*K64,K39),"")</f>
        <v>0</v>
      </c>
      <c r="L93" s="858">
        <f ca="1">IF(AnalysisTerm&gt;$K$84,IF('Migration - Reskilling'!$F$29&gt;$O$39,$D$93*L64,L39),"")</f>
        <v>0</v>
      </c>
      <c r="M93" s="858">
        <f ca="1">IF(AnalysisTerm&gt;$K$84,IF('Migration - Reskilling'!$F$29&gt;$O$39,$D$93*M64,M39),"")</f>
        <v>0</v>
      </c>
      <c r="N93" s="858">
        <f ca="1">IF(AnalysisTerm&gt;$K$84,IF('Migration - Reskilling'!$F$29&gt;$O$39,$D$93*N64,N39),"")</f>
        <v>0</v>
      </c>
      <c r="O93" s="858">
        <f t="shared" ca="1" si="23"/>
        <v>156000</v>
      </c>
      <c r="P93" s="95"/>
      <c r="Q93" s="672" t="s">
        <v>726</v>
      </c>
      <c r="R93" s="95"/>
    </row>
    <row r="94" spans="1:32" ht="18" customHeight="1" x14ac:dyDescent="0.3">
      <c r="A94" s="206"/>
      <c r="B94" s="464" t="str">
        <f t="shared" si="22"/>
        <v>Revenue Impact</v>
      </c>
      <c r="C94" s="437" t="s">
        <v>0</v>
      </c>
      <c r="D94" s="438">
        <f>'Business impact'!F19+'Business impact'!F34</f>
        <v>0</v>
      </c>
      <c r="E94" s="209">
        <f>$D$94*E65</f>
        <v>0</v>
      </c>
      <c r="F94" s="209">
        <f>$D$94*F65</f>
        <v>0</v>
      </c>
      <c r="G94" s="209">
        <f>$D$94*G65</f>
        <v>0</v>
      </c>
      <c r="H94" s="209">
        <f>IF(AnalysisTerm&gt;3,$D$94*H65,"")</f>
        <v>0</v>
      </c>
      <c r="I94" s="209">
        <f>IF(AnalysisTerm&gt;3,$D$94*I65,"")</f>
        <v>0</v>
      </c>
      <c r="J94" s="858">
        <f>IF(AnalysisTerm&gt;5,$D$94*J65,"")</f>
        <v>0</v>
      </c>
      <c r="K94" s="858">
        <f>IF(AnalysisTerm&gt;5,$D$94*K65,"")</f>
        <v>0</v>
      </c>
      <c r="L94" s="858">
        <f>IF(AnalysisTerm&gt;$K$84,$D$94*L65,"")</f>
        <v>0</v>
      </c>
      <c r="M94" s="858">
        <f>IF(AnalysisTerm&gt;$K$84,$D$94*M65,"")</f>
        <v>0</v>
      </c>
      <c r="N94" s="858">
        <f>IF(AnalysisTerm&gt;$K$84,$D$94*N65,"")</f>
        <v>0</v>
      </c>
      <c r="O94" s="858">
        <f t="shared" si="23"/>
        <v>0</v>
      </c>
      <c r="P94" s="95"/>
      <c r="Q94" s="100"/>
      <c r="R94" s="95"/>
    </row>
    <row r="95" spans="1:32" ht="18" customHeight="1" thickBot="1" x14ac:dyDescent="0.35">
      <c r="A95" s="206"/>
      <c r="B95" s="464" t="str">
        <f t="shared" si="22"/>
        <v>Risk Reduction</v>
      </c>
      <c r="C95" s="439" t="s">
        <v>0</v>
      </c>
      <c r="D95" s="440">
        <f ca="1">'Business impact'!F54+'Business impact'!F65+'Business impact'!F77</f>
        <v>0</v>
      </c>
      <c r="E95" s="209">
        <f ca="1">$D$95*E66</f>
        <v>0</v>
      </c>
      <c r="F95" s="209">
        <f ca="1">$D$95*F66</f>
        <v>0</v>
      </c>
      <c r="G95" s="209">
        <f ca="1">$D$95*G66</f>
        <v>0</v>
      </c>
      <c r="H95" s="209">
        <f ca="1">IF(AnalysisTerm&gt;3,$D$95*H66,"")</f>
        <v>0</v>
      </c>
      <c r="I95" s="209">
        <f ca="1">IF(AnalysisTerm&gt;3,$D$95*I66,"")</f>
        <v>0</v>
      </c>
      <c r="J95" s="858">
        <f ca="1">IF(AnalysisTerm&gt;5,$D$95*J66,"")</f>
        <v>0</v>
      </c>
      <c r="K95" s="858">
        <f ca="1">IF(AnalysisTerm&gt;5,$D$95*K66,"")</f>
        <v>0</v>
      </c>
      <c r="L95" s="858">
        <f ca="1">IF(AnalysisTerm&gt;$K$84,$D$95*L66,"")</f>
        <v>0</v>
      </c>
      <c r="M95" s="858">
        <f ca="1">IF(AnalysisTerm&gt;$K$84,$D$95*M66,"")</f>
        <v>0</v>
      </c>
      <c r="N95" s="858">
        <f ca="1">IF(AnalysisTerm&gt;$K$84,$D$95*N66,"")</f>
        <v>0</v>
      </c>
      <c r="O95" s="858">
        <f t="shared" ca="1" si="23"/>
        <v>0</v>
      </c>
      <c r="P95" s="95"/>
      <c r="Q95" s="100"/>
      <c r="R95" s="95"/>
    </row>
    <row r="97" spans="1:17" ht="18" customHeight="1" x14ac:dyDescent="0.3">
      <c r="A97" s="726"/>
    </row>
    <row r="98" spans="1:17" ht="18" customHeight="1" x14ac:dyDescent="0.35">
      <c r="B98" s="24" t="s">
        <v>715</v>
      </c>
      <c r="C98" s="24"/>
      <c r="D98" s="24"/>
      <c r="E98" s="24"/>
      <c r="F98" s="24"/>
      <c r="G98" s="24"/>
      <c r="H98" s="24"/>
      <c r="I98" s="24"/>
      <c r="J98" s="24"/>
      <c r="K98" s="24"/>
      <c r="L98" s="24"/>
      <c r="M98" s="24"/>
      <c r="N98" s="24"/>
      <c r="O98" s="24"/>
    </row>
    <row r="99" spans="1:17" ht="18" customHeight="1" x14ac:dyDescent="0.3">
      <c r="I99" s="61" t="str">
        <f>IF(AnalysisTerm&lt;=3,"hide column","show column")</f>
        <v>show column</v>
      </c>
      <c r="J99" s="61" t="str">
        <f>IF(AnalysisTerm&lt;=4,"hide column","show column")</f>
        <v>show column</v>
      </c>
      <c r="K99" s="61" t="str">
        <f>K$54</f>
        <v>show column</v>
      </c>
      <c r="L99" s="61" t="str">
        <f>L$54</f>
        <v>show column</v>
      </c>
      <c r="M99" s="61" t="str">
        <f t="shared" ref="M99:N99" si="24">M$54</f>
        <v>show column</v>
      </c>
      <c r="N99" s="61" t="str">
        <f t="shared" si="24"/>
        <v>show column</v>
      </c>
      <c r="O99" s="61"/>
      <c r="P99"/>
    </row>
    <row r="100" spans="1:17" ht="18" customHeight="1" x14ac:dyDescent="0.3">
      <c r="E100" s="52" t="s">
        <v>716</v>
      </c>
      <c r="F100" s="52" t="s">
        <v>717</v>
      </c>
      <c r="G100" s="52" t="s">
        <v>718</v>
      </c>
      <c r="H100" s="52" t="s">
        <v>719</v>
      </c>
      <c r="I100" s="52" t="str">
        <f>IF(AnalysisTerm&gt;3,"Year 4 (end)","")</f>
        <v>Year 4 (end)</v>
      </c>
      <c r="J100" s="52" t="str">
        <f>IF(AnalysisTerm&gt;3,"Year 5 (end)","")</f>
        <v>Year 5 (end)</v>
      </c>
      <c r="K100" s="52" t="str">
        <f>IF(AnalysisTerm&gt;5,"Year 6 (end)","")</f>
        <v>Year 6 (end)</v>
      </c>
      <c r="L100" s="52" t="str">
        <f>IF(AnalysisTerm&gt;5,"Year 7 (end)","")</f>
        <v>Year 7 (end)</v>
      </c>
      <c r="M100" s="52" t="str">
        <f>IF(AnalysisTerm&gt;7,"Year 8 (end)","")</f>
        <v>Year 8 (end)</v>
      </c>
      <c r="N100" s="52" t="str">
        <f>IF(AnalysisTerm&gt;7,"Year 9 (end)","")</f>
        <v>Year 9 (end)</v>
      </c>
      <c r="O100" s="52" t="str">
        <f>IF(AnalysisTerm&gt;7,"Year 10 (end)","")</f>
        <v>Year 10 (end)</v>
      </c>
    </row>
    <row r="101" spans="1:17" ht="18" customHeight="1" x14ac:dyDescent="0.3">
      <c r="B101" s="675" t="str">
        <f>"Total VMs "&amp;IF(Compute!D68="yes","(including P2V)","")</f>
        <v>Total VMs (including P2V)</v>
      </c>
      <c r="C101" s="676"/>
      <c r="D101" s="659"/>
      <c r="E101" s="680">
        <f>VMs</f>
        <v>5000</v>
      </c>
      <c r="F101" s="673">
        <f>VMs*(1-Compute!$F$14)*(1+Growth)^1+IF(Compute!$D$68="Yes",Compute!$F$73*(1+Growth)^1,0)*MIN(1,SUM($E$56:E56))</f>
        <v>4725</v>
      </c>
      <c r="G101" s="673">
        <f>VMs*(1-Compute!$F$14)*(1+Growth)^2+IF(Compute!$D$68="Yes",Compute!$F$73*(1+Growth)^2,0)*MIN(1,SUM($E$56:F56))</f>
        <v>4961.25</v>
      </c>
      <c r="H101" s="673">
        <f>VMs*(1-Compute!$F$14)*(1+Growth)^3+IF(Compute!$D$68="Yes",Compute!$F$73*(1+Growth)^3,0)*MIN(1,SUM($E$56:G56))</f>
        <v>5209.3125000000009</v>
      </c>
      <c r="I101" s="859">
        <f>IF(AnalysisTerm&gt;3,VMs*(1-Compute!$F$14)*(1+Growth)^4+IF(Compute!$D$68="Yes",Compute!$F$73*(1+Growth)^4,0)*MIN(1,SUM($E$56:H56)),"")</f>
        <v>5469.7781249999998</v>
      </c>
      <c r="J101" s="859">
        <f>IF(AnalysisTerm&gt;3,VMs*(1-Compute!$F$14)*(1+Growth)^5+IF(Compute!$D$68="Yes",Compute!$F$73*(1+Growth)^5,0)*MIN(1,SUM($E$56:I56)),"")</f>
        <v>5743.2670312500004</v>
      </c>
      <c r="K101" s="859">
        <f>IF(AnalysisTerm&gt;5,VMs*(1-Compute!$F$14)*(1+Growth)^6+IF(Compute!$D$68="Yes",Compute!$F$73*(1+Growth)^6,0)*MIN(1,SUM($E$56:J56)),"")</f>
        <v>6030.4303828125003</v>
      </c>
      <c r="L101" s="859">
        <f>IF(AnalysisTerm&gt;5,VMs*(1-Compute!$F$14)*(1+Growth)^7+IF(Compute!$D$68="Yes",Compute!$F$73*(1+Growth)^7,0)*MIN(1,SUM($E$56:K56)),"")</f>
        <v>6331.9519019531263</v>
      </c>
      <c r="M101" s="859">
        <f>IF(AnalysisTerm&gt;7,VMs*(1-Compute!$F$14)*(1+Growth)^8+IF(Compute!$D$68="Yes",Compute!$F$73*(1+Growth)^8,0)*MIN(1,SUM($E$56:L56)),"")</f>
        <v>6648.5494970507816</v>
      </c>
      <c r="N101" s="859">
        <f>IF(AnalysisTerm&gt;7,VMs*(1-Compute!$F$14)*(1+Growth)^9+IF(Compute!$D$68="Yes",Compute!$F$73*(1+Growth)^9,0)*MIN(1,SUM($E$56:M56)),"")</f>
        <v>6980.9769719033211</v>
      </c>
      <c r="O101" s="859">
        <f>IF(AnalysisTerm&gt;7,VMs*(1-Compute!$F$14)*(1+Growth)^10+IF(Compute!$D$68="Yes",Compute!$F$73*(1+Growth)^10,0)*MIN(1,SUM($E$56:N56)),"")</f>
        <v>7330.0258204984866</v>
      </c>
    </row>
    <row r="102" spans="1:17" ht="18" customHeight="1" x14ac:dyDescent="0.3">
      <c r="B102" s="677" t="str">
        <f>"VM Hosts - on prem "&amp;IF(Compute!D68="yes","(including P2V hosts)","")</f>
        <v>VM Hosts - on prem (including P2V hosts)</v>
      </c>
      <c r="D102" s="665"/>
      <c r="E102" s="680">
        <f>Hosts</f>
        <v>400</v>
      </c>
      <c r="F102" s="674">
        <f>VMs*(1+Growth)^1*(1-Compute!$F$14)/ROUND($E$103+(Misc!$C$130-$E$103)*MIN(1,SUM($E$56:E56)),1)+IF(Compute!$D$68="Yes",Misc!$C$131*MIN(1,SUM($E$56:E56))*(1+Growth)^1,0)</f>
        <v>328.125</v>
      </c>
      <c r="G102" s="674">
        <f>VMs*(1+Growth)^2*(1-Compute!$F$14)/ROUND($E$103+(Misc!$C$130-$E$103)*MIN(1,SUM($E$56:F56)),1)+IF(Compute!$D$68="Yes",Misc!$C$131*MIN(1,SUM($E$56:F56))*(1+Growth)^2,0)</f>
        <v>304.37116564417175</v>
      </c>
      <c r="H102" s="674">
        <f>VMs*(1+Growth)^3*(1-Compute!$F$14)/ROUND($E$103+(Misc!$C$130-$E$103)*MIN(1,SUM($E$56:G56)),1)+IF(Compute!$D$68="Yes",Misc!$C$131*MIN(1,SUM($E$56:G56))*(1+Growth)^3,0)</f>
        <v>286.2259615384616</v>
      </c>
      <c r="I102" s="860">
        <f>IF(AnalysisTerm&gt;3,VMs*(1+Growth)^4*(1-Compute!$F$14)/ROUND($E$103+(Misc!$C$130-$E$103)*MIN(1,SUM($E$56:H56)),1)+IF(Compute!$D$68="Yes",Misc!$C$131*MIN(1,SUM($E$56:H56))*(1+Growth)^4,0),"")</f>
        <v>272.12826492537312</v>
      </c>
      <c r="J102" s="860">
        <f>IF(AnalysisTerm&gt;3,VMs*(1+Growth)^5*(1-Compute!$F$14)/ROUND($E$103+(Misc!$C$130-$E$103)*MIN(1,SUM($E$56:I56)),1)+IF(Compute!$D$68="Yes",Misc!$C$131*MIN(1,SUM($E$56:I56))*(1+Growth)^5,0),"")</f>
        <v>261.05759232954546</v>
      </c>
      <c r="K102" s="860">
        <f>IF(AnalysisTerm&gt;5,VMs*(1+Growth)^6*(1-Compute!$F$14)/ROUND($E$103+(Misc!$C$130-$E$103)*MIN(1,SUM($E$56:J56)),1)+IF(Compute!$D$68="Yes",Misc!$C$131*MIN(1,SUM($E$56:J56))*(1+Growth)^6,0),"")</f>
        <v>252.31926287918412</v>
      </c>
      <c r="L102" s="860">
        <f>IF(AnalysisTerm&gt;5,VMs*(1+Growth)^7*(1-Compute!$F$14)/ROUND($E$103+(Misc!$C$130-$E$103)*MIN(1,SUM($E$56:K56)),1)+IF(Compute!$D$68="Yes",Misc!$C$131*MIN(1,SUM($E$56:K56))*(1+Growth)^7,0),"")</f>
        <v>245.42449232376458</v>
      </c>
      <c r="M102" s="860">
        <f>IF(AnalysisTerm&gt;7,VMs*(1+Growth)^8*(1-Compute!$F$14)/ROUND($E$103+(Misc!$C$130-$E$103)*MIN(1,SUM($E$56:L56)),1)+IF(Compute!$D$68="Yes",Misc!$C$131*MIN(1,SUM($E$56:L56))*(1+Growth)^8,0),"")</f>
        <v>240.0198374386564</v>
      </c>
      <c r="N102" s="860">
        <f>IF(AnalysisTerm&gt;7,VMs*(1+Growth)^9*(1-Compute!$F$14)/ROUND($E$103+(Misc!$C$130-$E$103)*MIN(1,SUM($E$56:M56)),1)+IF(Compute!$D$68="Yes",Misc!$C$131*MIN(1,SUM($E$56:M56))*(1+Growth)^9,0),"")</f>
        <v>235.84381661835542</v>
      </c>
      <c r="O102" s="860">
        <f>IF(AnalysisTerm&gt;7,VMs*(1+Growth)^10*(1-Compute!$F$14)/ROUND($E$103+(Misc!$C$130-$E$103)*MIN(1,SUM($E$56:N56)),1)+IF(Compute!$D$68="Yes",Misc!$C$131*MIN(1,SUM($E$56:N56))*(1+Growth)^10,0),"")</f>
        <v>232.69923239677738</v>
      </c>
    </row>
    <row r="103" spans="1:17" ht="18" customHeight="1" x14ac:dyDescent="0.3">
      <c r="B103" s="678" t="str">
        <f>"Consolidation Ratio - on prem "&amp;IF(Compute!D68="yes","(weighted average with P2V)","")</f>
        <v>Consolidation Ratio - on prem (weighted average with P2V)</v>
      </c>
      <c r="C103" s="679"/>
      <c r="D103" s="666"/>
      <c r="E103" s="681">
        <f>E101/E102</f>
        <v>12.5</v>
      </c>
      <c r="F103" s="681">
        <f>F101/F102</f>
        <v>14.4</v>
      </c>
      <c r="G103" s="681">
        <f>G101/G102</f>
        <v>16.3</v>
      </c>
      <c r="H103" s="681">
        <f>H101/H102</f>
        <v>18.2</v>
      </c>
      <c r="I103" s="861">
        <f>IF(AnalysisTerm&gt;3,I101/I102,"")</f>
        <v>20.100000000000001</v>
      </c>
      <c r="J103" s="861">
        <f>IF(AnalysisTerm&gt;3,J101/J102,"")</f>
        <v>22</v>
      </c>
      <c r="K103" s="861">
        <f>IF(AnalysisTerm&gt;5,K101/K102,"")</f>
        <v>23.9</v>
      </c>
      <c r="L103" s="861">
        <f>IF(AnalysisTerm&gt;5,L101/L102,"")</f>
        <v>25.8</v>
      </c>
      <c r="M103" s="861">
        <f>IF(AnalysisTerm&gt;7,M101/M102,"")</f>
        <v>27.7</v>
      </c>
      <c r="N103" s="861">
        <f>IF(AnalysisTerm&gt;7,N101/N102,"")</f>
        <v>29.6</v>
      </c>
      <c r="O103" s="861">
        <f>IF(AnalysisTerm&gt;7,O101/O102,"")</f>
        <v>31.499999999999996</v>
      </c>
    </row>
    <row r="105" spans="1:17" x14ac:dyDescent="0.35">
      <c r="B105" s="24" t="s">
        <v>245</v>
      </c>
      <c r="C105" s="24"/>
      <c r="D105" s="24"/>
      <c r="E105" s="269"/>
      <c r="F105" s="269"/>
      <c r="G105" s="269"/>
      <c r="H105" s="269"/>
      <c r="I105" s="269"/>
      <c r="J105" s="269"/>
      <c r="K105" s="269"/>
      <c r="L105" s="269"/>
      <c r="M105" s="269"/>
      <c r="N105" s="269"/>
      <c r="O105" s="24"/>
      <c r="P105" s="1" t="s">
        <v>474</v>
      </c>
      <c r="Q105" s="61"/>
    </row>
    <row r="106" spans="1:17" ht="18" customHeight="1" outlineLevel="1" x14ac:dyDescent="0.3">
      <c r="E106" s="52"/>
      <c r="F106" s="52"/>
      <c r="G106" s="52"/>
      <c r="H106" s="52"/>
      <c r="I106" s="52"/>
      <c r="J106" s="52"/>
      <c r="K106" s="52"/>
      <c r="L106" s="52"/>
      <c r="M106" s="52"/>
      <c r="N106" s="52"/>
      <c r="P106"/>
      <c r="Q106" s="61"/>
    </row>
    <row r="107" spans="1:17" ht="18" customHeight="1" outlineLevel="1" x14ac:dyDescent="0.3">
      <c r="B107" s="270" t="s">
        <v>246</v>
      </c>
      <c r="C107" s="270"/>
      <c r="D107" s="270"/>
      <c r="E107" s="52" t="s">
        <v>9</v>
      </c>
      <c r="F107" s="52" t="s">
        <v>10</v>
      </c>
      <c r="G107" s="52" t="s">
        <v>11</v>
      </c>
      <c r="H107" s="52" t="s">
        <v>247</v>
      </c>
      <c r="I107" s="52" t="s">
        <v>248</v>
      </c>
      <c r="J107" s="945">
        <f>$J$13</f>
        <v>6</v>
      </c>
      <c r="K107" s="945">
        <f>K$13</f>
        <v>7</v>
      </c>
      <c r="L107" s="945">
        <f t="shared" ref="L107:N107" si="25">L$13</f>
        <v>8</v>
      </c>
      <c r="M107" s="945">
        <f t="shared" si="25"/>
        <v>9</v>
      </c>
      <c r="N107" s="945">
        <f t="shared" si="25"/>
        <v>10</v>
      </c>
      <c r="P107"/>
      <c r="Q107" s="61"/>
    </row>
    <row r="108" spans="1:17" ht="14.4" outlineLevel="1" x14ac:dyDescent="0.3">
      <c r="B108" t="s">
        <v>249</v>
      </c>
      <c r="E108" s="53">
        <f ca="1">E16</f>
        <v>1395663</v>
      </c>
      <c r="F108" s="53">
        <f t="shared" ref="F108:N108" ca="1" si="26">F16+E108</f>
        <v>4881969</v>
      </c>
      <c r="G108" s="53">
        <f t="shared" ca="1" si="26"/>
        <v>9362346</v>
      </c>
      <c r="H108" s="53">
        <f t="shared" ca="1" si="26"/>
        <v>14971251</v>
      </c>
      <c r="I108" s="53">
        <f t="shared" ca="1" si="26"/>
        <v>21858665</v>
      </c>
      <c r="J108" s="864">
        <f t="shared" ca="1" si="26"/>
        <v>32002993</v>
      </c>
      <c r="K108" s="864">
        <f t="shared" ca="1" si="26"/>
        <v>43822976</v>
      </c>
      <c r="L108" s="864">
        <f t="shared" ca="1" si="26"/>
        <v>43822976</v>
      </c>
      <c r="M108" s="864">
        <f t="shared" ca="1" si="26"/>
        <v>43822976</v>
      </c>
      <c r="N108" s="864">
        <f t="shared" ca="1" si="26"/>
        <v>43822976</v>
      </c>
      <c r="P108"/>
      <c r="Q108" s="61"/>
    </row>
    <row r="109" spans="1:17" ht="14.4" outlineLevel="1" x14ac:dyDescent="0.3">
      <c r="B109" t="s">
        <v>250</v>
      </c>
      <c r="E109" s="52">
        <f t="shared" ref="E109:K109" ca="1" si="27">IF(E108&lt;0,0,1)</f>
        <v>1</v>
      </c>
      <c r="F109" s="52">
        <f t="shared" ca="1" si="27"/>
        <v>1</v>
      </c>
      <c r="G109" s="52">
        <f t="shared" ca="1" si="27"/>
        <v>1</v>
      </c>
      <c r="H109" s="52">
        <f t="shared" ca="1" si="27"/>
        <v>1</v>
      </c>
      <c r="I109" s="52">
        <f t="shared" ca="1" si="27"/>
        <v>1</v>
      </c>
      <c r="J109" s="806">
        <f t="shared" ca="1" si="27"/>
        <v>1</v>
      </c>
      <c r="K109" s="806">
        <f t="shared" ca="1" si="27"/>
        <v>1</v>
      </c>
      <c r="L109" s="806">
        <f t="shared" ref="L109:M109" ca="1" si="28">IF(L108&lt;0,0,1)</f>
        <v>1</v>
      </c>
      <c r="M109" s="806">
        <f t="shared" ca="1" si="28"/>
        <v>1</v>
      </c>
      <c r="N109" s="806">
        <f t="shared" ref="N109" ca="1" si="29">IF(N108&lt;0,0,1)</f>
        <v>1</v>
      </c>
      <c r="P109"/>
      <c r="Q109" s="61"/>
    </row>
    <row r="110" spans="1:17" ht="14.4" outlineLevel="1" x14ac:dyDescent="0.3">
      <c r="B110" t="s">
        <v>251</v>
      </c>
      <c r="E110" s="52">
        <f ca="1">IF(E109=1,1,0)</f>
        <v>1</v>
      </c>
      <c r="F110" s="52">
        <f t="shared" ref="F110:N110" ca="1" si="30">IF(F109=1,1+E110,0)</f>
        <v>2</v>
      </c>
      <c r="G110" s="52">
        <f t="shared" ca="1" si="30"/>
        <v>3</v>
      </c>
      <c r="H110" s="52">
        <f t="shared" ca="1" si="30"/>
        <v>4</v>
      </c>
      <c r="I110" s="52">
        <f t="shared" ca="1" si="30"/>
        <v>5</v>
      </c>
      <c r="J110" s="806">
        <f t="shared" ca="1" si="30"/>
        <v>6</v>
      </c>
      <c r="K110" s="806">
        <f t="shared" ca="1" si="30"/>
        <v>7</v>
      </c>
      <c r="L110" s="806">
        <f t="shared" ca="1" si="30"/>
        <v>8</v>
      </c>
      <c r="M110" s="806">
        <f t="shared" ca="1" si="30"/>
        <v>9</v>
      </c>
      <c r="N110" s="806">
        <f t="shared" ca="1" si="30"/>
        <v>10</v>
      </c>
      <c r="P110"/>
      <c r="Q110" s="61"/>
    </row>
    <row r="111" spans="1:17" ht="14.4" outlineLevel="1" x14ac:dyDescent="0.3">
      <c r="B111" t="s">
        <v>470</v>
      </c>
      <c r="E111" s="271">
        <f t="shared" ref="E111:K111" ca="1" si="31">(1-E108/E32)</f>
        <v>0.66334383667944063</v>
      </c>
      <c r="F111" s="271">
        <f t="shared" ca="1" si="31"/>
        <v>4.9517493700725779E-2</v>
      </c>
      <c r="G111" s="271">
        <f t="shared" ca="1" si="31"/>
        <v>-0.5272055862143552</v>
      </c>
      <c r="H111" s="271">
        <f t="shared" ca="1" si="31"/>
        <v>-1.0624668596709834</v>
      </c>
      <c r="I111" s="271">
        <f t="shared" ca="1" si="31"/>
        <v>-1.5603379430820623</v>
      </c>
      <c r="J111" s="865">
        <f t="shared" ca="1" si="31"/>
        <v>-2.1547671762979275</v>
      </c>
      <c r="K111" s="865">
        <f t="shared" ca="1" si="31"/>
        <v>-2.7075329126953904</v>
      </c>
      <c r="L111" s="865">
        <f t="shared" ref="L111:M111" ca="1" si="32">(1-L108/L32)</f>
        <v>-2.2290898394546907</v>
      </c>
      <c r="M111" s="865">
        <f t="shared" ca="1" si="32"/>
        <v>-1.7917775439491948</v>
      </c>
      <c r="N111" s="865">
        <f t="shared" ref="N111" ca="1" si="33">(1-N108/N32)</f>
        <v>-1.4229837632409117</v>
      </c>
      <c r="O111" s="52"/>
      <c r="P111"/>
      <c r="Q111" s="61"/>
    </row>
    <row r="112" spans="1:17" s="1" customFormat="1" ht="14.4" outlineLevel="1" x14ac:dyDescent="0.3">
      <c r="B112" s="106" t="s">
        <v>252</v>
      </c>
      <c r="C112" s="106"/>
      <c r="D112" s="106"/>
      <c r="E112" s="460">
        <f ca="1">(1-SUMPRODUCT('ROI Results'!E56:E66,'ROI Results'!E21:E31)/'ROI Results'!E32)*12</f>
        <v>10.779158893793838</v>
      </c>
      <c r="F112" s="450"/>
      <c r="G112" s="450"/>
      <c r="H112" s="450"/>
      <c r="I112" s="450"/>
      <c r="J112" s="866"/>
      <c r="K112" s="866"/>
      <c r="L112" s="866"/>
      <c r="M112" s="866"/>
      <c r="N112" s="866"/>
      <c r="Q112" s="61"/>
    </row>
    <row r="113" spans="2:17" ht="14.4" outlineLevel="1" x14ac:dyDescent="0.3">
      <c r="B113" t="s">
        <v>253</v>
      </c>
      <c r="E113" s="272">
        <f t="shared" ref="E113:K113" ca="1" si="34">(1-E108/E32)*(12-E112)+E112</f>
        <v>11.588996317160605</v>
      </c>
      <c r="F113" s="272">
        <f t="shared" ca="1" si="34"/>
        <v>0.59420992440870934</v>
      </c>
      <c r="G113" s="272">
        <f t="shared" ca="1" si="34"/>
        <v>-6.3264670345722624</v>
      </c>
      <c r="H113" s="272">
        <f t="shared" ca="1" si="34"/>
        <v>-12.749602316051801</v>
      </c>
      <c r="I113" s="272">
        <f t="shared" ca="1" si="34"/>
        <v>-18.724055316984746</v>
      </c>
      <c r="J113" s="867">
        <f t="shared" ca="1" si="34"/>
        <v>-25.857206115575131</v>
      </c>
      <c r="K113" s="867">
        <f t="shared" ca="1" si="34"/>
        <v>-32.490394952344687</v>
      </c>
      <c r="L113" s="867">
        <f t="shared" ref="L113:M113" ca="1" si="35">(1-L108/L32)*(12-L112)+L112</f>
        <v>-26.749078073456289</v>
      </c>
      <c r="M113" s="867">
        <f t="shared" ca="1" si="35"/>
        <v>-21.501330527390337</v>
      </c>
      <c r="N113" s="867">
        <f t="shared" ref="N113" ca="1" si="36">(1-N108/N32)*(12-N112)+N112</f>
        <v>-17.07580515889094</v>
      </c>
      <c r="P113"/>
      <c r="Q113" s="61"/>
    </row>
    <row r="114" spans="2:17" ht="14.4" outlineLevel="1" x14ac:dyDescent="0.3">
      <c r="E114" s="272"/>
      <c r="F114" s="272"/>
      <c r="G114" s="272"/>
      <c r="H114" s="272"/>
      <c r="I114" s="272"/>
      <c r="J114" s="867"/>
      <c r="K114" s="867"/>
      <c r="L114" s="867"/>
      <c r="M114" s="867"/>
      <c r="N114" s="867"/>
      <c r="P114"/>
      <c r="Q114" s="61"/>
    </row>
    <row r="115" spans="2:17" ht="14.4" outlineLevel="1" x14ac:dyDescent="0.3">
      <c r="B115" t="s">
        <v>254</v>
      </c>
      <c r="E115" s="272">
        <f ca="1">E113</f>
        <v>11.588996317160605</v>
      </c>
      <c r="F115" s="272">
        <f ca="1">F113+12</f>
        <v>12.594209924408709</v>
      </c>
      <c r="G115" s="272">
        <f ca="1">G113+24</f>
        <v>17.673532965427739</v>
      </c>
      <c r="H115" s="272">
        <f ca="1">H113+24</f>
        <v>11.250397683948199</v>
      </c>
      <c r="I115" s="272">
        <f ca="1">I113+24</f>
        <v>5.2759446830152541</v>
      </c>
      <c r="J115" s="867">
        <f ca="1">J113+24</f>
        <v>-1.8572061155751314</v>
      </c>
      <c r="K115" s="867">
        <f ca="1">K113+24</f>
        <v>-8.4903949523446869</v>
      </c>
      <c r="L115" s="867">
        <f ca="1">L113+24</f>
        <v>-2.749078073456289</v>
      </c>
      <c r="M115" s="867">
        <f ca="1">M113+24</f>
        <v>2.498669472609663</v>
      </c>
      <c r="N115" s="867">
        <f ca="1">N113+24</f>
        <v>6.9241948411090597</v>
      </c>
      <c r="O115" s="868">
        <f ca="1">HLOOKUP(1,E110:N115,6,FALSE)</f>
        <v>11.588996317160605</v>
      </c>
      <c r="P115"/>
      <c r="Q115" s="61"/>
    </row>
    <row r="116" spans="2:17" ht="18" customHeight="1" x14ac:dyDescent="0.3">
      <c r="E116" s="52"/>
      <c r="F116" s="52"/>
      <c r="G116" s="52"/>
      <c r="H116" s="52"/>
      <c r="I116" s="52"/>
      <c r="J116" s="52"/>
      <c r="K116" s="52"/>
      <c r="L116" s="52"/>
      <c r="M116" s="52"/>
      <c r="N116" s="52"/>
      <c r="P116"/>
      <c r="Q116" s="61"/>
    </row>
    <row r="117" spans="2:17" ht="18" customHeight="1" x14ac:dyDescent="0.3">
      <c r="E117" s="52"/>
      <c r="F117" s="52"/>
      <c r="G117" s="52"/>
      <c r="H117" s="52"/>
      <c r="I117" s="52"/>
      <c r="J117" s="52"/>
      <c r="K117" s="52"/>
      <c r="L117" s="52"/>
      <c r="M117" s="52"/>
      <c r="N117" s="52"/>
      <c r="P117"/>
      <c r="Q117" s="61"/>
    </row>
  </sheetData>
  <mergeCells count="34">
    <mergeCell ref="B30:D30"/>
    <mergeCell ref="B31:D31"/>
    <mergeCell ref="B36:D36"/>
    <mergeCell ref="B25:D25"/>
    <mergeCell ref="B26:D26"/>
    <mergeCell ref="B27:D27"/>
    <mergeCell ref="B28:D28"/>
    <mergeCell ref="B29:D29"/>
    <mergeCell ref="B20:D20"/>
    <mergeCell ref="B21:D21"/>
    <mergeCell ref="B22:D22"/>
    <mergeCell ref="B23:D23"/>
    <mergeCell ref="B24:D24"/>
    <mergeCell ref="B37:D37"/>
    <mergeCell ref="B38:D38"/>
    <mergeCell ref="B39:D39"/>
    <mergeCell ref="B40:D40"/>
    <mergeCell ref="B41:D41"/>
    <mergeCell ref="B45:D45"/>
    <mergeCell ref="B46:D46"/>
    <mergeCell ref="B56:D56"/>
    <mergeCell ref="B57:D57"/>
    <mergeCell ref="B58:D58"/>
    <mergeCell ref="B48:O48"/>
    <mergeCell ref="B53:D53"/>
    <mergeCell ref="B64:D64"/>
    <mergeCell ref="B65:D65"/>
    <mergeCell ref="B66:D66"/>
    <mergeCell ref="C83:D83"/>
    <mergeCell ref="B59:D59"/>
    <mergeCell ref="B60:D60"/>
    <mergeCell ref="B61:D61"/>
    <mergeCell ref="B62:D62"/>
    <mergeCell ref="B63:D63"/>
  </mergeCells>
  <phoneticPr fontId="35" type="noConversion"/>
  <conditionalFormatting sqref="E53">
    <cfRule type="expression" dxfId="1" priority="1">
      <formula>#REF!="Yes"</formula>
    </cfRule>
  </conditionalFormatting>
  <conditionalFormatting sqref="E56:N66">
    <cfRule type="expression" dxfId="0" priority="2">
      <formula>#REF!="Yes"</formula>
    </cfRule>
  </conditionalFormatting>
  <dataValidations count="1">
    <dataValidation type="list" allowBlank="1" showInputMessage="1" showErrorMessage="1" sqref="E53" xr:uid="{A0192C39-0E71-4B0F-AF9D-E8782748BDB4}">
      <formula1>"1,3,5,7"</formula1>
    </dataValidation>
  </dataValidations>
  <hyperlinks>
    <hyperlink ref="I10" location="'ROI Results'!B51:K93" display="Review Value Realization" xr:uid="{BD0E4B37-26AD-4FB4-887F-871B546C4760}"/>
    <hyperlink ref="I11" location="Sustainability!A1" display="Review Sustainability" xr:uid="{74664828-DE34-4EE2-8F22-B608CA4E4F30}"/>
  </hyperlink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4183B-D72D-4535-8C75-3CF5E77A3C07}">
  <sheetPr codeName="Sheet13">
    <tabColor theme="9" tint="0.59999389629810485"/>
  </sheetPr>
  <dimension ref="A1:X50"/>
  <sheetViews>
    <sheetView showGridLines="0" zoomScale="60" zoomScaleNormal="60" workbookViewId="0">
      <selection activeCell="J48" sqref="J48"/>
    </sheetView>
  </sheetViews>
  <sheetFormatPr defaultColWidth="8.77734375" defaultRowHeight="14.4" x14ac:dyDescent="0.3"/>
  <cols>
    <col min="1" max="1" width="5.44140625" bestFit="1" customWidth="1"/>
    <col min="2" max="2" width="63.44140625" bestFit="1" customWidth="1"/>
    <col min="3" max="3" width="19.44140625" customWidth="1"/>
    <col min="4" max="4" width="18.21875" customWidth="1"/>
    <col min="5" max="5" width="17.77734375" customWidth="1"/>
    <col min="6" max="6" width="13.44140625" customWidth="1"/>
    <col min="7" max="12" width="14.5546875" customWidth="1"/>
    <col min="13" max="13" width="6.33203125" customWidth="1"/>
    <col min="14" max="14" width="171.21875" style="52" customWidth="1"/>
    <col min="15" max="15" width="19.44140625" customWidth="1"/>
    <col min="16" max="16" width="19.77734375" customWidth="1"/>
    <col min="17" max="17" width="18.21875" customWidth="1"/>
    <col min="18" max="18" width="15.21875" customWidth="1"/>
    <col min="19" max="19" width="14.77734375" customWidth="1"/>
  </cols>
  <sheetData>
    <row r="1" spans="1:24" ht="15" thickBot="1" x14ac:dyDescent="0.35">
      <c r="A1" s="745"/>
      <c r="B1" s="70"/>
      <c r="N1"/>
    </row>
    <row r="2" spans="1:24" s="2" customFormat="1" ht="18" customHeight="1" thickBot="1" x14ac:dyDescent="0.45">
      <c r="A2"/>
      <c r="B2" s="348" t="str">
        <f>"Projected Sustainability Benefit Over "&amp;AnalysisTerm&amp;" Years"</f>
        <v>Projected Sustainability Benefit Over 10 Years</v>
      </c>
      <c r="C2" s="350"/>
      <c r="D2"/>
      <c r="E2"/>
      <c r="F2"/>
      <c r="G2" s="13"/>
      <c r="H2" s="13"/>
      <c r="I2" s="13"/>
      <c r="J2" s="13"/>
      <c r="K2" s="13"/>
      <c r="L2" s="13"/>
      <c r="M2" s="119"/>
      <c r="N2" s="13"/>
      <c r="O2" s="13"/>
      <c r="P2" s="13"/>
      <c r="Q2" s="13"/>
      <c r="R2"/>
      <c r="S2"/>
      <c r="T2" s="13"/>
      <c r="U2" s="13"/>
      <c r="V2" s="13"/>
      <c r="W2" s="9"/>
      <c r="X2" s="56"/>
    </row>
    <row r="3" spans="1:24" s="2" customFormat="1" x14ac:dyDescent="0.3">
      <c r="A3"/>
      <c r="B3" s="620" t="s">
        <v>666</v>
      </c>
      <c r="C3" s="621">
        <f>C50</f>
        <v>17787.484</v>
      </c>
      <c r="D3"/>
      <c r="E3"/>
      <c r="F3"/>
      <c r="G3" s="13"/>
      <c r="H3" s="13"/>
      <c r="I3" s="13"/>
      <c r="J3" s="13"/>
      <c r="K3" s="13"/>
      <c r="L3" s="13"/>
      <c r="M3" s="119"/>
      <c r="N3" s="13"/>
      <c r="O3" s="13"/>
      <c r="P3" s="13"/>
      <c r="Q3" s="13"/>
      <c r="R3"/>
      <c r="S3"/>
      <c r="T3" s="13"/>
      <c r="U3" s="13"/>
      <c r="V3" s="13"/>
      <c r="W3" s="9"/>
      <c r="X3" s="56"/>
    </row>
    <row r="4" spans="1:24" s="2" customFormat="1" x14ac:dyDescent="0.3">
      <c r="A4"/>
      <c r="B4" s="622" t="s">
        <v>667</v>
      </c>
      <c r="C4" s="623">
        <f>ROUND(C3*C12,0)</f>
        <v>9819</v>
      </c>
      <c r="D4"/>
      <c r="E4"/>
      <c r="F4"/>
      <c r="G4" s="13"/>
      <c r="H4" s="13"/>
      <c r="I4" s="13"/>
      <c r="J4" s="13"/>
      <c r="K4" s="13"/>
      <c r="L4" s="13"/>
      <c r="M4" s="119"/>
      <c r="N4" s="13"/>
      <c r="O4" s="13"/>
      <c r="P4" s="13"/>
      <c r="Q4" s="13"/>
      <c r="R4"/>
      <c r="S4"/>
      <c r="T4" s="13"/>
      <c r="U4" s="13"/>
      <c r="V4" s="13"/>
      <c r="W4" s="9"/>
      <c r="X4" s="56"/>
    </row>
    <row r="5" spans="1:24" s="2" customFormat="1" x14ac:dyDescent="0.3">
      <c r="A5"/>
      <c r="B5" s="622" t="s">
        <v>668</v>
      </c>
      <c r="C5" s="623">
        <f>ROUNDUP(C4/C18,0)</f>
        <v>2116</v>
      </c>
      <c r="D5"/>
      <c r="E5"/>
      <c r="F5"/>
      <c r="G5" s="13"/>
      <c r="H5" s="13"/>
      <c r="I5" s="13"/>
      <c r="J5" s="13"/>
      <c r="K5" s="13"/>
      <c r="L5" s="13"/>
      <c r="M5" s="119"/>
      <c r="N5" s="13"/>
      <c r="O5" s="13"/>
      <c r="P5" s="13"/>
      <c r="Q5" s="13"/>
      <c r="R5"/>
      <c r="S5"/>
      <c r="T5" s="13"/>
      <c r="U5" s="13"/>
      <c r="V5" s="13"/>
      <c r="W5" s="9"/>
      <c r="X5" s="56"/>
    </row>
    <row r="6" spans="1:24" s="2" customFormat="1" ht="15" thickBot="1" x14ac:dyDescent="0.35">
      <c r="A6"/>
      <c r="B6" s="624" t="s">
        <v>669</v>
      </c>
      <c r="C6" s="625">
        <f>ROUNDUP(C4/C22,0)</f>
        <v>163650</v>
      </c>
      <c r="D6"/>
      <c r="E6"/>
      <c r="F6"/>
      <c r="G6" s="13"/>
      <c r="H6" s="13"/>
      <c r="I6" s="13"/>
      <c r="J6" s="13"/>
      <c r="K6" s="13"/>
      <c r="L6" s="13"/>
      <c r="M6" s="119"/>
      <c r="N6" s="13"/>
      <c r="O6" s="13"/>
      <c r="P6" s="13"/>
      <c r="Q6" s="13"/>
      <c r="R6"/>
      <c r="S6"/>
      <c r="T6" s="13"/>
      <c r="U6" s="13"/>
      <c r="V6" s="13"/>
      <c r="W6" s="9"/>
      <c r="X6" s="56"/>
    </row>
    <row r="7" spans="1:24" s="2" customFormat="1" ht="15" thickBot="1" x14ac:dyDescent="0.35">
      <c r="A7"/>
      <c r="B7" s="56"/>
      <c r="C7" s="56"/>
      <c r="D7"/>
      <c r="E7" s="626"/>
      <c r="F7" s="626"/>
      <c r="G7" s="13"/>
      <c r="H7" s="13"/>
      <c r="I7" s="13"/>
      <c r="J7" s="13"/>
      <c r="K7" s="13"/>
      <c r="L7" s="13"/>
      <c r="M7" s="119"/>
      <c r="N7" s="13"/>
      <c r="O7" s="13"/>
      <c r="P7" s="13"/>
      <c r="Q7" s="13"/>
      <c r="R7"/>
      <c r="S7"/>
      <c r="T7" s="13"/>
      <c r="U7" s="13"/>
      <c r="V7" s="13"/>
      <c r="W7" s="9"/>
      <c r="X7" s="56"/>
    </row>
    <row r="8" spans="1:24" ht="15.6" x14ac:dyDescent="0.3">
      <c r="B8" s="656" t="s">
        <v>670</v>
      </c>
      <c r="C8" s="657"/>
      <c r="G8" s="52"/>
      <c r="H8" s="52"/>
      <c r="I8" s="52"/>
      <c r="J8" s="52"/>
      <c r="K8" s="52"/>
      <c r="L8" s="52"/>
      <c r="N8"/>
    </row>
    <row r="9" spans="1:24" ht="15.6" x14ac:dyDescent="0.3">
      <c r="B9" s="658" t="s">
        <v>671</v>
      </c>
      <c r="C9" s="659"/>
      <c r="N9" s="627" t="s">
        <v>61</v>
      </c>
    </row>
    <row r="10" spans="1:24" x14ac:dyDescent="0.3">
      <c r="B10" s="660" t="s">
        <v>672</v>
      </c>
      <c r="C10" s="628">
        <f>ROUND(1217.44,2)</f>
        <v>1217.44</v>
      </c>
      <c r="G10" t="s">
        <v>1</v>
      </c>
      <c r="N10" s="365" t="s">
        <v>673</v>
      </c>
    </row>
    <row r="11" spans="1:24" x14ac:dyDescent="0.3">
      <c r="B11" s="660" t="s">
        <v>674</v>
      </c>
      <c r="C11" s="629">
        <f>ROUND(2204.6,2)</f>
        <v>2204.6</v>
      </c>
      <c r="N11" s="365" t="s">
        <v>675</v>
      </c>
    </row>
    <row r="12" spans="1:24" x14ac:dyDescent="0.3">
      <c r="B12" s="660" t="s">
        <v>676</v>
      </c>
      <c r="C12" s="630">
        <f>ROUND(C10/C11,3)</f>
        <v>0.55200000000000005</v>
      </c>
      <c r="N12" s="631" t="s">
        <v>677</v>
      </c>
    </row>
    <row r="13" spans="1:24" ht="15.6" x14ac:dyDescent="0.3">
      <c r="B13" s="661" t="s">
        <v>678</v>
      </c>
      <c r="C13" s="662"/>
      <c r="N13" s="632"/>
    </row>
    <row r="14" spans="1:24" x14ac:dyDescent="0.3">
      <c r="B14" s="660" t="s">
        <v>679</v>
      </c>
      <c r="C14" s="633">
        <f>ROUND(0.994,3)</f>
        <v>0.99399999999999999</v>
      </c>
      <c r="G14" t="s">
        <v>1</v>
      </c>
      <c r="N14" s="365" t="s">
        <v>680</v>
      </c>
    </row>
    <row r="15" spans="1:24" x14ac:dyDescent="0.3">
      <c r="B15" s="660" t="s">
        <v>681</v>
      </c>
      <c r="C15" s="126">
        <f>ROUND(11520,0)</f>
        <v>11520</v>
      </c>
      <c r="N15" s="365" t="s">
        <v>682</v>
      </c>
    </row>
    <row r="16" spans="1:24" x14ac:dyDescent="0.3">
      <c r="B16" s="660" t="s">
        <v>683</v>
      </c>
      <c r="C16" s="634">
        <f>ROUND(0.00889,5)</f>
        <v>8.8900000000000003E-3</v>
      </c>
      <c r="N16" s="365" t="s">
        <v>682</v>
      </c>
    </row>
    <row r="17" spans="1:20" x14ac:dyDescent="0.3">
      <c r="B17" s="660" t="s">
        <v>684</v>
      </c>
      <c r="C17" s="628">
        <f>ROUND(22.2,2)</f>
        <v>22.2</v>
      </c>
      <c r="N17" s="365" t="s">
        <v>682</v>
      </c>
    </row>
    <row r="18" spans="1:20" x14ac:dyDescent="0.3">
      <c r="B18" s="660" t="s">
        <v>685</v>
      </c>
      <c r="C18" s="630">
        <f>ROUND(C16*C15/(C14*C17),3)</f>
        <v>4.641</v>
      </c>
      <c r="G18" t="s">
        <v>1</v>
      </c>
      <c r="N18" s="631" t="s">
        <v>677</v>
      </c>
    </row>
    <row r="19" spans="1:20" ht="15.6" x14ac:dyDescent="0.3">
      <c r="B19" s="661" t="s">
        <v>686</v>
      </c>
      <c r="C19" s="662"/>
      <c r="N19" s="635"/>
    </row>
    <row r="20" spans="1:20" x14ac:dyDescent="0.3">
      <c r="B20" s="660" t="s">
        <v>687</v>
      </c>
      <c r="C20" s="628">
        <f>ROUND(36.4,2)</f>
        <v>36.4</v>
      </c>
      <c r="N20" s="636" t="s">
        <v>688</v>
      </c>
    </row>
    <row r="21" spans="1:20" x14ac:dyDescent="0.3">
      <c r="B21" s="660" t="s">
        <v>689</v>
      </c>
      <c r="C21" s="634">
        <f>ROUND((44/12)*1/C11,5)</f>
        <v>1.66E-3</v>
      </c>
      <c r="N21" s="365" t="s">
        <v>690</v>
      </c>
    </row>
    <row r="22" spans="1:20" x14ac:dyDescent="0.3">
      <c r="B22" s="663" t="s">
        <v>691</v>
      </c>
      <c r="C22" s="630">
        <f>ROUND(C20*C21,3)</f>
        <v>0.06</v>
      </c>
      <c r="G22" t="s">
        <v>1</v>
      </c>
      <c r="N22" s="631" t="s">
        <v>677</v>
      </c>
    </row>
    <row r="23" spans="1:20" ht="15" thickBot="1" x14ac:dyDescent="0.35">
      <c r="B23" s="637"/>
      <c r="C23" s="638"/>
    </row>
    <row r="24" spans="1:20" ht="16.2" thickBot="1" x14ac:dyDescent="0.35">
      <c r="B24" s="343" t="s">
        <v>692</v>
      </c>
      <c r="C24" s="344"/>
      <c r="D24" s="344"/>
    </row>
    <row r="25" spans="1:20" ht="15.6" x14ac:dyDescent="0.3">
      <c r="B25" s="639" t="s">
        <v>705</v>
      </c>
      <c r="C25" s="655" t="s">
        <v>706</v>
      </c>
      <c r="D25" s="664"/>
      <c r="N25" s="627" t="s">
        <v>61</v>
      </c>
    </row>
    <row r="26" spans="1:20" ht="15.6" x14ac:dyDescent="0.3">
      <c r="B26" s="7" t="s">
        <v>693</v>
      </c>
      <c r="C26" s="640">
        <f>Facilities!F32</f>
        <v>12584</v>
      </c>
      <c r="D26" s="665"/>
      <c r="N26" s="641" t="s">
        <v>703</v>
      </c>
    </row>
    <row r="27" spans="1:20" ht="15.6" x14ac:dyDescent="0.3">
      <c r="B27" s="7" t="s">
        <v>662</v>
      </c>
      <c r="C27" s="640">
        <f>Facilities!F33</f>
        <v>5808</v>
      </c>
      <c r="D27" s="665"/>
      <c r="N27" s="641" t="s">
        <v>703</v>
      </c>
    </row>
    <row r="28" spans="1:20" ht="15.6" x14ac:dyDescent="0.3">
      <c r="B28" s="7" t="s">
        <v>695</v>
      </c>
      <c r="C28" s="640">
        <f>Facilities!F35</f>
        <v>5808</v>
      </c>
      <c r="D28" s="665"/>
      <c r="N28" s="641" t="s">
        <v>703</v>
      </c>
    </row>
    <row r="29" spans="1:20" ht="15.6" x14ac:dyDescent="0.3">
      <c r="B29" s="7" t="s">
        <v>694</v>
      </c>
      <c r="C29" s="640">
        <f>Facilities!F34</f>
        <v>5808</v>
      </c>
      <c r="D29" s="665"/>
      <c r="N29" s="641" t="s">
        <v>703</v>
      </c>
    </row>
    <row r="30" spans="1:20" x14ac:dyDescent="0.3">
      <c r="B30" s="642"/>
      <c r="D30" s="666"/>
    </row>
    <row r="31" spans="1:20" x14ac:dyDescent="0.3">
      <c r="B31" s="643" t="s">
        <v>696</v>
      </c>
      <c r="C31" s="641" t="s">
        <v>12</v>
      </c>
      <c r="D31" s="641" t="s">
        <v>13</v>
      </c>
      <c r="N31" s="627" t="s">
        <v>61</v>
      </c>
      <c r="R31" s="644"/>
      <c r="T31" s="644"/>
    </row>
    <row r="32" spans="1:20" ht="15.6" x14ac:dyDescent="0.3">
      <c r="B32" s="7" t="s">
        <v>702</v>
      </c>
      <c r="C32" s="667">
        <f>'Excel Output'!D23</f>
        <v>400</v>
      </c>
      <c r="D32" s="668">
        <f>Facilities!F15</f>
        <v>143</v>
      </c>
      <c r="N32" s="641" t="s">
        <v>227</v>
      </c>
    </row>
    <row r="33" spans="1:20" ht="15.6" x14ac:dyDescent="0.3">
      <c r="B33" s="7" t="s">
        <v>654</v>
      </c>
      <c r="C33" s="667">
        <f>Compute!F73</f>
        <v>0</v>
      </c>
      <c r="D33" s="668">
        <v>0</v>
      </c>
      <c r="N33" s="641" t="s">
        <v>227</v>
      </c>
    </row>
    <row r="34" spans="1:20" ht="15.6" x14ac:dyDescent="0.3">
      <c r="B34" s="7" t="s">
        <v>698</v>
      </c>
      <c r="C34" s="667">
        <f>Network!F26</f>
        <v>0</v>
      </c>
      <c r="D34" s="667">
        <f>Network!F32</f>
        <v>0</v>
      </c>
      <c r="N34" s="641" t="s">
        <v>565</v>
      </c>
    </row>
    <row r="35" spans="1:20" ht="15.6" x14ac:dyDescent="0.3">
      <c r="B35" s="7" t="s">
        <v>697</v>
      </c>
      <c r="C35" s="667">
        <f>Network!F48</f>
        <v>0</v>
      </c>
      <c r="D35" s="667">
        <f>Network!F54</f>
        <v>0</v>
      </c>
      <c r="N35" s="641" t="s">
        <v>565</v>
      </c>
    </row>
    <row r="36" spans="1:20" ht="15.75" customHeight="1" thickBot="1" x14ac:dyDescent="0.35">
      <c r="B36" s="14" t="s">
        <v>704</v>
      </c>
      <c r="C36" s="645">
        <f>SUMPRODUCT(C32:C35,$C$26:$C$29)</f>
        <v>5033600</v>
      </c>
      <c r="D36" s="645">
        <f>SUMPRODUCT(D32:D35,$C$26:$C$29)</f>
        <v>1799512</v>
      </c>
      <c r="N36" s="631" t="s">
        <v>8</v>
      </c>
      <c r="P36" s="52"/>
      <c r="Q36" s="52"/>
    </row>
    <row r="37" spans="1:20" s="647" customFormat="1" x14ac:dyDescent="0.3">
      <c r="A37"/>
      <c r="B37" s="646"/>
      <c r="F37" s="669" t="str">
        <f>IF(AnalysisTerm=3,"Hide","Show")</f>
        <v>Show</v>
      </c>
      <c r="G37" s="669" t="str">
        <f>IF(AnalysisTerm=3,"Hide","Show")</f>
        <v>Show</v>
      </c>
      <c r="H37" s="824" t="str">
        <f>IF(AnalysisTerm&lt;=5,"hide","show ")</f>
        <v xml:space="preserve">show </v>
      </c>
      <c r="I37" s="824" t="str">
        <f>IF(AnalysisTerm&lt;=5,"hide","show")</f>
        <v>show</v>
      </c>
      <c r="J37" s="824" t="str">
        <f>IF(AnalysisTerm&lt;=7,"hide","show")</f>
        <v>show</v>
      </c>
      <c r="K37" s="824" t="str">
        <f>IF(AnalysisTerm&lt;=7,"hide","show")</f>
        <v>show</v>
      </c>
      <c r="L37" s="824" t="str">
        <f>IF(AnalysisTerm&lt;=7,"hide","show")</f>
        <v>show</v>
      </c>
      <c r="M37" s="648"/>
      <c r="P37" s="648"/>
      <c r="Q37" s="52"/>
    </row>
    <row r="38" spans="1:20" ht="15.6" x14ac:dyDescent="0.3">
      <c r="B38" s="298" t="s">
        <v>708</v>
      </c>
      <c r="C38" s="299"/>
      <c r="D38" s="299"/>
      <c r="E38" s="299"/>
      <c r="F38" s="299"/>
      <c r="G38" s="300"/>
      <c r="H38" s="947"/>
      <c r="I38" s="947"/>
      <c r="J38" s="947"/>
      <c r="K38" s="947"/>
      <c r="L38" s="947"/>
      <c r="P38" s="52"/>
      <c r="Q38" s="52"/>
    </row>
    <row r="39" spans="1:20" ht="15.6" x14ac:dyDescent="0.3">
      <c r="B39" s="651"/>
      <c r="C39" s="20" t="s">
        <v>9</v>
      </c>
      <c r="D39" s="20" t="s">
        <v>10</v>
      </c>
      <c r="E39" s="20" t="s">
        <v>11</v>
      </c>
      <c r="F39" s="20" t="str">
        <f>IF(AnalysisTerm&gt;3,"Year 4","")</f>
        <v>Year 4</v>
      </c>
      <c r="G39" s="20" t="str">
        <f>IF(AnalysisTerm&gt;3,"Year 5","")</f>
        <v>Year 5</v>
      </c>
      <c r="H39" s="949">
        <f>IF(AnalysisTerm&gt;5,6,"")</f>
        <v>6</v>
      </c>
      <c r="I39" s="949">
        <f>IF(AnalysisTerm&gt;6,7,"")</f>
        <v>7</v>
      </c>
      <c r="J39" s="949">
        <f>IF(AnalysisTerm&gt;7,8,"")</f>
        <v>8</v>
      </c>
      <c r="K39" s="949">
        <f>IF(AnalysisTerm&gt;7,9,"")</f>
        <v>9</v>
      </c>
      <c r="L39" s="949">
        <f>IF(AnalysisTerm&gt;7,10,"")</f>
        <v>10</v>
      </c>
      <c r="M39" s="649"/>
      <c r="N39" s="627" t="s">
        <v>61</v>
      </c>
      <c r="P39" s="52"/>
      <c r="Q39" s="52"/>
    </row>
    <row r="40" spans="1:20" ht="15.6" x14ac:dyDescent="0.3">
      <c r="B40" s="652" t="s">
        <v>699</v>
      </c>
      <c r="C40" s="654">
        <f>'ROI Results'!E$56</f>
        <v>0.1</v>
      </c>
      <c r="D40" s="654">
        <f>'ROI Results'!F$56</f>
        <v>0.1</v>
      </c>
      <c r="E40" s="654">
        <f>'ROI Results'!G$56</f>
        <v>0.1</v>
      </c>
      <c r="F40" s="654">
        <f>'ROI Results'!H$56</f>
        <v>0.1</v>
      </c>
      <c r="G40" s="654">
        <f>'ROI Results'!I$56</f>
        <v>0.1</v>
      </c>
      <c r="H40" s="950">
        <f>'ROI Results'!J$56</f>
        <v>0.1</v>
      </c>
      <c r="I40" s="950">
        <f>'ROI Results'!K$56</f>
        <v>0.1</v>
      </c>
      <c r="J40" s="950">
        <f>'ROI Results'!L$56</f>
        <v>0.1</v>
      </c>
      <c r="K40" s="950">
        <f>'ROI Results'!M$56</f>
        <v>0.1</v>
      </c>
      <c r="L40" s="950">
        <f>'ROI Results'!N$56</f>
        <v>0.1</v>
      </c>
      <c r="M40" s="649"/>
      <c r="N40" s="641" t="s">
        <v>710</v>
      </c>
      <c r="P40" s="52"/>
      <c r="Q40" s="52"/>
    </row>
    <row r="41" spans="1:20" ht="15.6" x14ac:dyDescent="0.3">
      <c r="B41" s="652" t="s">
        <v>700</v>
      </c>
      <c r="C41" s="654">
        <f>'ROI Results'!E$56</f>
        <v>0.1</v>
      </c>
      <c r="D41" s="654">
        <f>'ROI Results'!F$56</f>
        <v>0.1</v>
      </c>
      <c r="E41" s="654">
        <f>'ROI Results'!G$56</f>
        <v>0.1</v>
      </c>
      <c r="F41" s="654">
        <f>'ROI Results'!H$56</f>
        <v>0.1</v>
      </c>
      <c r="G41" s="654">
        <f>'ROI Results'!I$56</f>
        <v>0.1</v>
      </c>
      <c r="H41" s="950">
        <f>'ROI Results'!J$56</f>
        <v>0.1</v>
      </c>
      <c r="I41" s="950">
        <f>'ROI Results'!K$56</f>
        <v>0.1</v>
      </c>
      <c r="J41" s="950">
        <f>'ROI Results'!L$56</f>
        <v>0.1</v>
      </c>
      <c r="K41" s="950">
        <f>'ROI Results'!M$56</f>
        <v>0.1</v>
      </c>
      <c r="L41" s="950">
        <f>'ROI Results'!N$56</f>
        <v>0.1</v>
      </c>
      <c r="M41" s="649"/>
      <c r="N41" s="641" t="s">
        <v>710</v>
      </c>
      <c r="P41" s="52"/>
      <c r="Q41" s="52"/>
    </row>
    <row r="42" spans="1:20" ht="15.6" x14ac:dyDescent="0.3">
      <c r="B42" s="652" t="s">
        <v>701</v>
      </c>
      <c r="C42" s="654">
        <f>'ROI Results'!E$58</f>
        <v>0.1</v>
      </c>
      <c r="D42" s="654">
        <f>'ROI Results'!F$58</f>
        <v>0.1</v>
      </c>
      <c r="E42" s="654">
        <f>'ROI Results'!G$58</f>
        <v>0.1</v>
      </c>
      <c r="F42" s="654">
        <f>'ROI Results'!H$58</f>
        <v>0.1</v>
      </c>
      <c r="G42" s="654">
        <f>'ROI Results'!I$58</f>
        <v>0.1</v>
      </c>
      <c r="H42" s="950">
        <f>'ROI Results'!J$58</f>
        <v>0.1</v>
      </c>
      <c r="I42" s="950">
        <f>'ROI Results'!K$58</f>
        <v>0.1</v>
      </c>
      <c r="J42" s="950">
        <f>'ROI Results'!L$58</f>
        <v>0.1</v>
      </c>
      <c r="K42" s="950">
        <f>'ROI Results'!M$58</f>
        <v>0.1</v>
      </c>
      <c r="L42" s="950">
        <f>'ROI Results'!N$58</f>
        <v>0.1</v>
      </c>
      <c r="M42" s="649"/>
      <c r="N42" s="641" t="s">
        <v>710</v>
      </c>
      <c r="P42" s="52"/>
      <c r="Q42" s="52"/>
    </row>
    <row r="43" spans="1:20" ht="15.6" x14ac:dyDescent="0.3">
      <c r="B43" s="653" t="s">
        <v>709</v>
      </c>
      <c r="C43" s="654">
        <f>'ROI Results'!E$58</f>
        <v>0.1</v>
      </c>
      <c r="D43" s="654">
        <f>'ROI Results'!F$58</f>
        <v>0.1</v>
      </c>
      <c r="E43" s="654">
        <f>'ROI Results'!G$58</f>
        <v>0.1</v>
      </c>
      <c r="F43" s="654">
        <f>'ROI Results'!H$58</f>
        <v>0.1</v>
      </c>
      <c r="G43" s="654">
        <f>'ROI Results'!I$58</f>
        <v>0.1</v>
      </c>
      <c r="H43" s="950">
        <f>'ROI Results'!J$58</f>
        <v>0.1</v>
      </c>
      <c r="I43" s="950">
        <f>'ROI Results'!K$58</f>
        <v>0.1</v>
      </c>
      <c r="J43" s="950">
        <f>'ROI Results'!L$58</f>
        <v>0.1</v>
      </c>
      <c r="K43" s="950">
        <f>'ROI Results'!M$58</f>
        <v>0.1</v>
      </c>
      <c r="L43" s="950">
        <f>'ROI Results'!N$58</f>
        <v>0.1</v>
      </c>
      <c r="M43" s="649"/>
      <c r="N43" s="641" t="s">
        <v>710</v>
      </c>
      <c r="P43" s="52"/>
      <c r="Q43" s="52"/>
    </row>
    <row r="44" spans="1:20" ht="15" thickBot="1" x14ac:dyDescent="0.35">
      <c r="C44" s="650"/>
      <c r="D44" s="650"/>
      <c r="E44" s="650"/>
      <c r="F44" s="650"/>
      <c r="G44" s="650"/>
      <c r="H44" s="650"/>
      <c r="I44" s="650"/>
      <c r="J44" s="650"/>
      <c r="K44" s="650"/>
      <c r="L44" s="650"/>
    </row>
    <row r="45" spans="1:20" ht="16.2" thickBot="1" x14ac:dyDescent="0.35">
      <c r="B45" s="343" t="s">
        <v>707</v>
      </c>
      <c r="C45" s="344"/>
      <c r="F45" s="106"/>
      <c r="G45" s="106"/>
      <c r="H45" s="106"/>
      <c r="I45" s="106"/>
      <c r="J45" s="106"/>
      <c r="K45" s="106"/>
      <c r="L45" s="106"/>
      <c r="M45" s="106"/>
      <c r="N45" s="106"/>
      <c r="O45" s="106"/>
      <c r="P45" s="106"/>
      <c r="Q45" s="106"/>
      <c r="R45" s="106"/>
      <c r="S45" s="106"/>
      <c r="T45" s="106"/>
    </row>
    <row r="46" spans="1:20" ht="15.6" x14ac:dyDescent="0.3">
      <c r="B46" s="652" t="s">
        <v>699</v>
      </c>
      <c r="C46" s="951">
        <f>(C32-D32)*C26*(IF(AnalysisTerm=3,SUMPRODUCT(C40:E40,{3,2,1}),IF(AnalysisTerm=5,SUMPRODUCT(C40:G40,{5,4,3,2,1}),IF(AnalysisTerm=7,SUMPRODUCT(C40:I40,{7,6,5,4,3,2,1}),SUMPRODUCT(C40:L40,{10,9,8,7,6,5,4,3,2,1}))))/1000)</f>
        <v>17787.484</v>
      </c>
      <c r="F46" s="106"/>
      <c r="G46" s="106"/>
      <c r="H46" s="106"/>
      <c r="I46" s="106"/>
      <c r="J46" s="106"/>
      <c r="K46" s="106"/>
      <c r="L46" s="106"/>
      <c r="M46" s="106"/>
      <c r="N46" s="106"/>
      <c r="O46" s="106"/>
      <c r="P46" s="106"/>
      <c r="Q46" s="106"/>
      <c r="R46" s="106"/>
      <c r="S46" s="106"/>
      <c r="T46" s="106"/>
    </row>
    <row r="47" spans="1:20" ht="15.6" x14ac:dyDescent="0.3">
      <c r="B47" s="652" t="s">
        <v>700</v>
      </c>
      <c r="C47" s="951">
        <f>(C33-D33)*C27*(IF(AnalysisTerm=3,SUMPRODUCT(C41:E41,{3,2,1}),IF(AnalysisTerm=5,SUMPRODUCT(C41:G41,{5,4,3,2,1}),IF(AnalysisTerm=7,SUMPRODUCT(C41:I41,{7,6,5,4,3,2,1}),SUMPRODUCT(C41:L41,{10,9,8,7,6,5,4,3,2,1}))))/1000)</f>
        <v>0</v>
      </c>
    </row>
    <row r="48" spans="1:20" ht="15.6" x14ac:dyDescent="0.3">
      <c r="B48" s="652" t="s">
        <v>701</v>
      </c>
      <c r="C48" s="951">
        <f>(C34-D34)*C28*(IF(AnalysisTerm=3,SUMPRODUCT(C42:E42,{3,2,1}),IF(AnalysisTerm=5,SUMPRODUCT(C42:G42,{5,4,3,2,1}),IF(AnalysisTerm=7,SUMPRODUCT(C42:I42,{7,6,5,4,3,2,1}),SUMPRODUCT(C42:L42,{10,9,8,7,6,5,4,3,2,1}))))/1000)</f>
        <v>0</v>
      </c>
    </row>
    <row r="49" spans="2:5" ht="15.6" x14ac:dyDescent="0.3">
      <c r="B49" s="653" t="s">
        <v>709</v>
      </c>
      <c r="C49" s="951">
        <f>(C35-D35)*C29*(IF(AnalysisTerm=3,SUMPRODUCT(C43:E43,{3,2,1}),IF(AnalysisTerm=5,SUMPRODUCT(C43:G43,{5,4,3,2,1}),IF(AnalysisTerm=7,SUMPRODUCT(C43:I43,{7,6,5,4,3,2,1}),SUMPRODUCT(C43:L43,{10,9,8,7,6,5,4,3,2,1}))))/1000)</f>
        <v>0</v>
      </c>
      <c r="E49" s="106"/>
    </row>
    <row r="50" spans="2:5" ht="15.6" x14ac:dyDescent="0.3">
      <c r="B50" s="670" t="s">
        <v>17</v>
      </c>
      <c r="C50" s="671">
        <f>SUM(C46:C49)</f>
        <v>17787.484</v>
      </c>
    </row>
  </sheetData>
  <hyperlinks>
    <hyperlink ref="N20" r:id="rId1" xr:uid="{E6A1F8BD-3F3C-4864-A698-D2046BD6E40C}"/>
  </hyperlinks>
  <pageMargins left="0.7" right="0.7" top="0.75" bottom="0.75" header="0.3" footer="0.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AEC9-C686-4282-A7BE-BA3D9B1F802F}">
  <sheetPr codeName="Sheet14"/>
  <dimension ref="A1:M44"/>
  <sheetViews>
    <sheetView showGridLines="0" tabSelected="1" topLeftCell="A16" zoomScale="60" zoomScaleNormal="60" workbookViewId="0">
      <selection activeCell="G35" sqref="G35"/>
    </sheetView>
  </sheetViews>
  <sheetFormatPr defaultColWidth="9.21875" defaultRowHeight="15.6" x14ac:dyDescent="0.3"/>
  <cols>
    <col min="1" max="1" width="9.44140625" style="94" customWidth="1"/>
    <col min="2" max="4" width="40.77734375" style="94" customWidth="1"/>
    <col min="5" max="5" width="52.21875" style="94" customWidth="1"/>
    <col min="6" max="6" width="19.77734375" style="94" customWidth="1"/>
    <col min="7" max="7" width="44.77734375" style="94" customWidth="1"/>
    <col min="8" max="8" width="12.77734375" style="94" bestFit="1" customWidth="1"/>
    <col min="9" max="16384" width="9.21875" style="94"/>
  </cols>
  <sheetData>
    <row r="1" spans="1:13" ht="16.2" customHeight="1" x14ac:dyDescent="0.3"/>
    <row r="2" spans="1:13" ht="16.2" customHeight="1" x14ac:dyDescent="0.4">
      <c r="B2" s="591" t="s">
        <v>626</v>
      </c>
    </row>
    <row r="3" spans="1:13" ht="87" customHeight="1" x14ac:dyDescent="0.3">
      <c r="B3" s="932" t="s">
        <v>755</v>
      </c>
      <c r="C3" s="932"/>
      <c r="D3" s="932"/>
      <c r="E3" s="691"/>
    </row>
    <row r="4" spans="1:13" s="523" customFormat="1" ht="27.75" customHeight="1" x14ac:dyDescent="0.3">
      <c r="B4" s="933" t="s">
        <v>627</v>
      </c>
      <c r="C4" s="933"/>
      <c r="D4" s="933"/>
    </row>
    <row r="5" spans="1:13" s="58" customFormat="1" ht="16.2" customHeight="1" x14ac:dyDescent="0.3">
      <c r="B5" s="357" t="s">
        <v>625</v>
      </c>
      <c r="D5" s="602" t="s">
        <v>624</v>
      </c>
      <c r="M5" s="592"/>
    </row>
    <row r="6" spans="1:13" s="95" customFormat="1" ht="84.75" customHeight="1" x14ac:dyDescent="0.3">
      <c r="A6" s="746"/>
      <c r="B6" s="747" t="str">
        <f>"The Value Model looks at actual costs and the value of "&amp;'Initial Screens'!C13&amp;" in the customers environment ramping over time taking into account adoption timeframes and investments."</f>
        <v>The Value Model looks at actual costs and the value of VCF 9 in the customers environment ramping over time taking into account adoption timeframes and investments.</v>
      </c>
      <c r="D6" s="593" t="s">
        <v>628</v>
      </c>
      <c r="M6" s="197"/>
    </row>
    <row r="7" spans="1:13" s="67" customFormat="1" ht="108" customHeight="1" x14ac:dyDescent="0.3">
      <c r="B7" s="933" t="s">
        <v>629</v>
      </c>
      <c r="C7" s="933"/>
      <c r="D7" s="933"/>
      <c r="E7" s="691" t="s">
        <v>635</v>
      </c>
      <c r="M7" s="594"/>
    </row>
    <row r="8" spans="1:13" s="95" customFormat="1" ht="16.2" customHeight="1" x14ac:dyDescent="0.3">
      <c r="A8" s="194"/>
      <c r="B8" s="930" t="str">
        <f>'Initial Screens'!C13&amp;" TCO Results Overview"</f>
        <v>VCF 9 TCO Results Overview</v>
      </c>
      <c r="C8" s="931"/>
      <c r="D8" s="931"/>
      <c r="E8" s="195"/>
      <c r="F8" s="195"/>
    </row>
    <row r="9" spans="1:13" s="95" customFormat="1" ht="16.2" customHeight="1" x14ac:dyDescent="0.3">
      <c r="A9" s="194"/>
      <c r="B9" s="195"/>
      <c r="C9" s="195"/>
      <c r="D9" s="195"/>
      <c r="E9" s="94"/>
      <c r="F9" s="195"/>
    </row>
    <row r="10" spans="1:13" ht="16.2" customHeight="1" thickBot="1" x14ac:dyDescent="0.35">
      <c r="A10" s="194"/>
      <c r="B10" s="205" t="s">
        <v>625</v>
      </c>
      <c r="C10" s="205" t="s">
        <v>630</v>
      </c>
      <c r="D10" s="205" t="s">
        <v>624</v>
      </c>
    </row>
    <row r="11" spans="1:13" ht="16.2" customHeight="1" thickBot="1" x14ac:dyDescent="0.35">
      <c r="A11" s="194"/>
      <c r="B11" s="204">
        <f>'ROI Results'!O85</f>
        <v>27627723.825431589</v>
      </c>
      <c r="C11" s="596" t="s">
        <v>40</v>
      </c>
      <c r="D11" s="330">
        <f>Compute!F24+Compute!F86+Compute!F108*(1+AnalysisTerm*Compute!F111)</f>
        <v>8937500</v>
      </c>
      <c r="E11" s="746"/>
    </row>
    <row r="12" spans="1:13" ht="16.2" customHeight="1" thickBot="1" x14ac:dyDescent="0.35">
      <c r="A12" s="194"/>
      <c r="B12" s="204">
        <f>'ROI Results'!O86</f>
        <v>9458613.2625831198</v>
      </c>
      <c r="C12" s="597" t="s">
        <v>41</v>
      </c>
      <c r="D12" s="330">
        <f>Storage!F34+Compute!F109*(1+AnalysisTerm*Compute!F111)</f>
        <v>2940000</v>
      </c>
      <c r="E12" s="746"/>
    </row>
    <row r="13" spans="1:13" ht="16.2" customHeight="1" thickBot="1" x14ac:dyDescent="0.35">
      <c r="A13" s="194"/>
      <c r="B13" s="204">
        <f>'ROI Results'!O87</f>
        <v>2743020.2907715766</v>
      </c>
      <c r="C13" s="597" t="s">
        <v>182</v>
      </c>
      <c r="D13" s="330">
        <f>Network!F19+Network!F34+Network!F56+Compute!F110*(1+AnalysisTerm*Compute!F111)</f>
        <v>893750</v>
      </c>
      <c r="E13" s="746"/>
    </row>
    <row r="14" spans="1:13" ht="16.2" customHeight="1" thickBot="1" x14ac:dyDescent="0.35">
      <c r="A14" s="194"/>
      <c r="B14" s="204">
        <f>'ROI Results'!O88</f>
        <v>8881408.0000000019</v>
      </c>
      <c r="C14" s="597" t="s">
        <v>149</v>
      </c>
      <c r="D14" s="330">
        <f>Software!F21+'ROI Results'!O37/(1-'ROI Results'!F34)</f>
        <v>10000000</v>
      </c>
    </row>
    <row r="15" spans="1:13" ht="16.2" customHeight="1" thickBot="1" x14ac:dyDescent="0.35">
      <c r="A15" s="194"/>
      <c r="B15" s="204">
        <f>'ROI Results'!O89</f>
        <v>21605404.608530141</v>
      </c>
      <c r="C15" s="597" t="s">
        <v>183</v>
      </c>
      <c r="D15" s="204">
        <f>Facilities!F21</f>
        <v>7763470</v>
      </c>
    </row>
    <row r="16" spans="1:13" ht="16.2" customHeight="1" thickBot="1" x14ac:dyDescent="0.35">
      <c r="A16" s="194"/>
      <c r="B16" s="204">
        <f ca="1">'ROI Results'!O90</f>
        <v>48893378.511249721</v>
      </c>
      <c r="C16" s="597" t="s">
        <v>136</v>
      </c>
      <c r="D16" s="204">
        <f ca="1">Labor!F128</f>
        <v>23764409.306875002</v>
      </c>
    </row>
    <row r="17" spans="1:5" ht="16.2" customHeight="1" thickBot="1" x14ac:dyDescent="0.35">
      <c r="A17" s="194"/>
      <c r="B17" s="204">
        <f>'ROI Results'!O40</f>
        <v>750000</v>
      </c>
      <c r="C17" s="597" t="s">
        <v>184</v>
      </c>
      <c r="D17" s="204">
        <f>'ROI Results'!O40</f>
        <v>750000</v>
      </c>
    </row>
    <row r="18" spans="1:5" ht="16.2" customHeight="1" thickBot="1" x14ac:dyDescent="0.35">
      <c r="A18" s="194"/>
      <c r="B18" s="204">
        <f ca="1">'ROI Results'!O92</f>
        <v>1877008.7604972676</v>
      </c>
      <c r="C18" s="597" t="s">
        <v>185</v>
      </c>
      <c r="D18" s="204">
        <f ca="1">'Migration - Reskilling'!F14</f>
        <v>1218750</v>
      </c>
    </row>
    <row r="19" spans="1:5" ht="16.2" customHeight="1" thickBot="1" x14ac:dyDescent="0.35">
      <c r="A19" s="194"/>
      <c r="B19" s="204">
        <f ca="1">'ROI Results'!O93</f>
        <v>156000</v>
      </c>
      <c r="C19" s="595" t="s">
        <v>186</v>
      </c>
      <c r="D19" s="204">
        <f ca="1">'Migration - Reskilling'!F29</f>
        <v>156000</v>
      </c>
    </row>
    <row r="20" spans="1:5" ht="16.2" customHeight="1" thickBot="1" x14ac:dyDescent="0.35">
      <c r="A20" s="194"/>
      <c r="B20" s="282">
        <f ca="1">SUM(B11:B19)</f>
        <v>121992557.25906342</v>
      </c>
      <c r="C20" s="282" t="str">
        <f>'Initial Screens'!C14&amp;" Year Total TCO"</f>
        <v>10 Year Total TCO</v>
      </c>
      <c r="D20" s="690">
        <f ca="1">SUM(D11:D19)</f>
        <v>56423879.306875005</v>
      </c>
    </row>
    <row r="21" spans="1:5" ht="16.2" customHeight="1" x14ac:dyDescent="0.3">
      <c r="A21" s="194"/>
      <c r="B21" s="285"/>
    </row>
    <row r="22" spans="1:5" ht="16.2" customHeight="1" x14ac:dyDescent="0.3">
      <c r="A22" s="194"/>
      <c r="B22" s="930" t="s">
        <v>631</v>
      </c>
      <c r="C22" s="931"/>
      <c r="D22" s="931"/>
    </row>
    <row r="23" spans="1:5" ht="16.2" customHeight="1" x14ac:dyDescent="0.3">
      <c r="A23" s="194"/>
    </row>
    <row r="24" spans="1:5" ht="16.2" customHeight="1" x14ac:dyDescent="0.3">
      <c r="B24" s="205" t="s">
        <v>12</v>
      </c>
      <c r="C24" s="205" t="s">
        <v>632</v>
      </c>
      <c r="D24" s="205" t="str">
        <f>'Initial Screens'!C13&amp;" End Future State"</f>
        <v>VCF 9 End Future State</v>
      </c>
      <c r="E24" s="706" t="s">
        <v>636</v>
      </c>
    </row>
    <row r="25" spans="1:5" ht="16.2" customHeight="1" x14ac:dyDescent="0.3">
      <c r="A25" s="194"/>
      <c r="B25" s="216">
        <f>'Initial Screens'!C16</f>
        <v>5000</v>
      </c>
      <c r="C25" s="598" t="s">
        <v>5</v>
      </c>
      <c r="D25" s="216">
        <f>Compute!F33</f>
        <v>4500</v>
      </c>
    </row>
    <row r="26" spans="1:5" ht="16.2" customHeight="1" x14ac:dyDescent="0.3">
      <c r="A26" s="194"/>
      <c r="B26" s="216">
        <f>'Initial Screens'!C17</f>
        <v>400</v>
      </c>
      <c r="C26" s="599" t="s">
        <v>70</v>
      </c>
      <c r="D26" s="216">
        <f>Compute!F46</f>
        <v>143</v>
      </c>
    </row>
    <row r="27" spans="1:5" ht="16.2" customHeight="1" x14ac:dyDescent="0.3">
      <c r="A27" s="194"/>
      <c r="B27" s="601">
        <f>Compute!F7</f>
        <v>12.5</v>
      </c>
      <c r="C27" s="599" t="s">
        <v>633</v>
      </c>
      <c r="D27" s="601">
        <f>Compute!F18</f>
        <v>31.46853146853147</v>
      </c>
    </row>
    <row r="28" spans="1:5" ht="16.2" customHeight="1" x14ac:dyDescent="0.3">
      <c r="A28" s="194"/>
      <c r="B28" s="514">
        <f>(Compute!F8*Compute!F10+(1-Compute!F8)*Compute!F9)</f>
        <v>25000</v>
      </c>
      <c r="C28" s="599" t="s">
        <v>541</v>
      </c>
      <c r="D28" s="514">
        <f>(Compute!F19*Compute!F21+Compute!F20*Compute!F22)/Compute!F17</f>
        <v>25000</v>
      </c>
    </row>
    <row r="29" spans="1:5" ht="16.2" customHeight="1" x14ac:dyDescent="0.3">
      <c r="A29" s="194"/>
      <c r="B29" s="216">
        <f>'Initial Screens'!C18*B25</f>
        <v>1500000</v>
      </c>
      <c r="C29" s="599" t="s">
        <v>540</v>
      </c>
      <c r="D29" s="216">
        <f>Compute!F34*D25</f>
        <v>1350000</v>
      </c>
    </row>
    <row r="30" spans="1:5" ht="16.2" customHeight="1" x14ac:dyDescent="0.3">
      <c r="A30" s="194"/>
      <c r="B30" s="216">
        <f>Storage!F11</f>
        <v>2142857</v>
      </c>
      <c r="C30" s="599" t="s">
        <v>545</v>
      </c>
      <c r="D30" s="216">
        <f>Storage!F25</f>
        <v>1200000</v>
      </c>
    </row>
    <row r="31" spans="1:5" ht="16.2" customHeight="1" x14ac:dyDescent="0.3">
      <c r="A31" s="194"/>
      <c r="B31" s="515">
        <f>Storage!F13</f>
        <v>2</v>
      </c>
      <c r="C31" s="599" t="s">
        <v>542</v>
      </c>
      <c r="D31" s="515">
        <f>(Storage!F26*Storage!F29+Storage!F27*Storage!F30)/(Storage!F29+Storage!F30)</f>
        <v>0.97999999999999987</v>
      </c>
    </row>
    <row r="32" spans="1:5" ht="16.2" customHeight="1" x14ac:dyDescent="0.3">
      <c r="A32" s="194"/>
      <c r="B32" s="514">
        <f>Facilities!F6</f>
        <v>6032</v>
      </c>
      <c r="C32" s="599" t="s">
        <v>543</v>
      </c>
      <c r="D32" s="514">
        <f>Facilities!F16</f>
        <v>5429</v>
      </c>
    </row>
    <row r="33" spans="1:5" ht="16.2" customHeight="1" x14ac:dyDescent="0.3">
      <c r="A33" s="194"/>
      <c r="B33" s="216">
        <f>Compute!D39*Compute!D41</f>
        <v>14400</v>
      </c>
      <c r="C33" s="600" t="s">
        <v>544</v>
      </c>
      <c r="D33" s="216">
        <f>Compute!F41*Compute!F46</f>
        <v>6864</v>
      </c>
    </row>
    <row r="34" spans="1:5" ht="16.2" customHeight="1" x14ac:dyDescent="0.3">
      <c r="A34" s="194"/>
    </row>
    <row r="35" spans="1:5" ht="16.2" customHeight="1" x14ac:dyDescent="0.3">
      <c r="A35" s="194"/>
      <c r="B35" s="520" t="s">
        <v>634</v>
      </c>
      <c r="C35" s="216" t="str">
        <f>'Initial Screens'!D26</f>
        <v>No</v>
      </c>
    </row>
    <row r="36" spans="1:5" ht="16.2" customHeight="1" x14ac:dyDescent="0.3">
      <c r="A36" s="708" t="str">
        <f>IF('Initial Screens'!C13="VCF","Show","Hide")</f>
        <v>Hide</v>
      </c>
      <c r="B36" s="520" t="s">
        <v>546</v>
      </c>
      <c r="C36" s="216" t="str">
        <f>'Initial Screens'!D27</f>
        <v>No</v>
      </c>
    </row>
    <row r="37" spans="1:5" ht="16.2" customHeight="1" x14ac:dyDescent="0.3">
      <c r="A37" s="194"/>
      <c r="B37" s="520" t="s">
        <v>547</v>
      </c>
      <c r="C37" s="216" t="str">
        <f>'Initial Screens'!D28</f>
        <v>No</v>
      </c>
    </row>
    <row r="38" spans="1:5" ht="16.2" customHeight="1" x14ac:dyDescent="0.3">
      <c r="B38" s="520" t="s">
        <v>593</v>
      </c>
      <c r="C38" s="216" t="str">
        <f>'Initial Screens'!D29</f>
        <v>No</v>
      </c>
    </row>
    <row r="44" spans="1:5" ht="16.2" customHeight="1" x14ac:dyDescent="0.3">
      <c r="E44" s="129"/>
    </row>
  </sheetData>
  <mergeCells count="5">
    <mergeCell ref="B22:D22"/>
    <mergeCell ref="B8:D8"/>
    <mergeCell ref="B3:D3"/>
    <mergeCell ref="B4:D4"/>
    <mergeCell ref="B7:D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BAAD-F633-4369-8589-16B71D38FE9C}">
  <sheetPr codeName="Sheet32">
    <tabColor theme="1"/>
  </sheetPr>
  <dimension ref="B2:S91"/>
  <sheetViews>
    <sheetView showGridLines="0" zoomScale="60" zoomScaleNormal="60" workbookViewId="0">
      <selection activeCell="D10" sqref="D10"/>
    </sheetView>
  </sheetViews>
  <sheetFormatPr defaultColWidth="16.44140625" defaultRowHeight="14.4" x14ac:dyDescent="0.3"/>
  <cols>
    <col min="1" max="1" width="3.44140625" style="2" customWidth="1"/>
    <col min="2" max="2" width="42.21875" style="2" customWidth="1"/>
    <col min="3" max="3" width="52.77734375" style="2" customWidth="1"/>
    <col min="4" max="4" width="18.77734375" style="16" customWidth="1"/>
    <col min="5" max="5" width="9.21875" style="79" bestFit="1" customWidth="1"/>
    <col min="6" max="6" width="75.77734375" style="17" bestFit="1" customWidth="1"/>
    <col min="7" max="7" width="36.44140625" style="2" customWidth="1"/>
    <col min="8" max="8" width="14.44140625" style="2" customWidth="1"/>
    <col min="9" max="9" width="5.77734375" style="154" customWidth="1"/>
    <col min="10" max="10" width="29.5546875" style="2" customWidth="1"/>
    <col min="11" max="11" width="5.77734375" style="154" hidden="1" customWidth="1"/>
    <col min="12" max="12" width="5.77734375" style="2" hidden="1" customWidth="1"/>
    <col min="13" max="13" width="30.21875" style="2" bestFit="1" customWidth="1"/>
    <col min="14" max="14" width="7.77734375" style="154" customWidth="1"/>
    <col min="15" max="15" width="0" style="154" hidden="1" customWidth="1"/>
    <col min="16" max="16" width="39.44140625" style="2" bestFit="1" customWidth="1"/>
    <col min="17" max="17" width="20" style="2" bestFit="1" customWidth="1"/>
    <col min="18" max="18" width="16.44140625" style="2"/>
    <col min="19" max="19" width="16.44140625" style="2" hidden="1" customWidth="1"/>
    <col min="20" max="16384" width="16.44140625" style="2"/>
  </cols>
  <sheetData>
    <row r="2" spans="2:13" ht="15.6" x14ac:dyDescent="0.3">
      <c r="B2" s="274" t="s">
        <v>261</v>
      </c>
      <c r="D2" s="2"/>
    </row>
    <row r="3" spans="2:13" x14ac:dyDescent="0.3">
      <c r="D3" s="2"/>
    </row>
    <row r="4" spans="2:13" ht="15.6" x14ac:dyDescent="0.3">
      <c r="B4" s="58" t="s">
        <v>239</v>
      </c>
      <c r="D4" s="82"/>
      <c r="E4" s="13"/>
    </row>
    <row r="5" spans="2:13" ht="15.6" x14ac:dyDescent="0.3">
      <c r="B5" s="84" t="s">
        <v>14</v>
      </c>
      <c r="D5" s="83"/>
      <c r="E5" s="13"/>
    </row>
    <row r="6" spans="2:13" ht="15.6" x14ac:dyDescent="0.3">
      <c r="B6" s="50" t="s">
        <v>455</v>
      </c>
      <c r="C6" s="67"/>
      <c r="D6" s="162">
        <f ca="1">D38/1880*(1+D41)</f>
        <v>97.496303191489346</v>
      </c>
      <c r="E6" s="13"/>
    </row>
    <row r="7" spans="2:13" ht="15.6" x14ac:dyDescent="0.3">
      <c r="B7" s="50" t="s">
        <v>133</v>
      </c>
      <c r="C7" s="67"/>
      <c r="D7" s="162">
        <f ca="1">D6/(1+D$41)*D$60*(1+D$42)</f>
        <v>52.618774898198943</v>
      </c>
      <c r="E7" s="67"/>
    </row>
    <row r="8" spans="2:13" ht="15.6" x14ac:dyDescent="0.3">
      <c r="B8" s="50" t="s">
        <v>135</v>
      </c>
      <c r="C8" s="67"/>
      <c r="D8" s="162">
        <f ca="1">D6/(1+D$41)*D$61*(1+D$43)</f>
        <v>46.283021829695898</v>
      </c>
      <c r="E8" s="67"/>
    </row>
    <row r="9" spans="2:13" ht="15.6" x14ac:dyDescent="0.3">
      <c r="B9" s="50" t="s">
        <v>134</v>
      </c>
      <c r="C9" s="67"/>
      <c r="D9" s="162">
        <f ca="1">D6/(1+D$41)*D$62*(1+D$44)</f>
        <v>45.240683662233401</v>
      </c>
      <c r="E9" s="67"/>
    </row>
    <row r="10" spans="2:13" ht="15.6" x14ac:dyDescent="0.3">
      <c r="B10" s="84"/>
      <c r="C10" s="57" t="s">
        <v>154</v>
      </c>
      <c r="D10" s="162">
        <f ca="1">OFFSET(D5,MATCH('Initial Screens'!$C$9,Benchmarks!B6:B9,0),0)</f>
        <v>97.496303191489346</v>
      </c>
      <c r="E10" s="67"/>
    </row>
    <row r="11" spans="2:13" ht="15.6" x14ac:dyDescent="0.3">
      <c r="B11" s="84" t="s">
        <v>240</v>
      </c>
      <c r="D11" s="67"/>
      <c r="E11" s="67"/>
    </row>
    <row r="12" spans="2:13" ht="15.6" x14ac:dyDescent="0.3">
      <c r="B12" s="50" t="s">
        <v>455</v>
      </c>
      <c r="C12" s="67"/>
      <c r="D12" s="164">
        <f ca="1">D$6*D48*1880</f>
        <v>175032.71186059655</v>
      </c>
      <c r="E12" s="67"/>
    </row>
    <row r="13" spans="2:13" ht="15.6" x14ac:dyDescent="0.3">
      <c r="B13" s="50" t="s">
        <v>133</v>
      </c>
      <c r="C13" s="67"/>
      <c r="D13" s="164">
        <f ca="1">D$7*D51*1880</f>
        <v>83534.049805230956</v>
      </c>
      <c r="E13" s="67"/>
    </row>
    <row r="14" spans="2:13" ht="15.6" x14ac:dyDescent="0.3">
      <c r="B14" s="50" t="s">
        <v>135</v>
      </c>
      <c r="C14" s="67"/>
      <c r="D14" s="164">
        <f ca="1">D12/(1+D$41)*D$61*(1+D$43)</f>
        <v>83090.769175564157</v>
      </c>
      <c r="E14" s="67"/>
    </row>
    <row r="15" spans="2:13" ht="15.6" x14ac:dyDescent="0.3">
      <c r="B15" s="50" t="s">
        <v>134</v>
      </c>
      <c r="C15" s="67"/>
      <c r="D15" s="164">
        <f ca="1">D12/(1+D$41)*D$62*(1+D$44)</f>
        <v>81219.485135507435</v>
      </c>
      <c r="E15" s="67"/>
    </row>
    <row r="16" spans="2:13" ht="15.6" x14ac:dyDescent="0.3">
      <c r="B16" s="84"/>
      <c r="C16" s="57" t="s">
        <v>154</v>
      </c>
      <c r="D16" s="163">
        <f ca="1">OFFSET(D11,MATCH('Initial Screens'!$C$9,Benchmarks!B12:B15,0),0)</f>
        <v>175032.71186059655</v>
      </c>
      <c r="E16" s="67"/>
      <c r="I16" s="274" t="s">
        <v>537</v>
      </c>
      <c r="J16" s="274"/>
      <c r="K16" s="274"/>
      <c r="L16" s="274"/>
      <c r="M16" s="274"/>
    </row>
    <row r="17" spans="2:17" ht="16.2" thickBot="1" x14ac:dyDescent="0.35">
      <c r="C17" s="67"/>
      <c r="D17" s="2"/>
      <c r="E17" s="13"/>
    </row>
    <row r="18" spans="2:17" ht="15.6" x14ac:dyDescent="0.3">
      <c r="B18" s="58" t="s">
        <v>456</v>
      </c>
      <c r="D18" s="83"/>
      <c r="E18" s="13"/>
      <c r="F18" s="65" t="s">
        <v>165</v>
      </c>
      <c r="I18" s="456"/>
      <c r="J18" s="451" t="s">
        <v>431</v>
      </c>
      <c r="K18" s="452" t="s">
        <v>447</v>
      </c>
      <c r="L18" s="453"/>
      <c r="M18" s="451" t="s">
        <v>432</v>
      </c>
      <c r="N18" s="452"/>
      <c r="O18" s="452" t="s">
        <v>453</v>
      </c>
      <c r="P18" s="506" t="s">
        <v>526</v>
      </c>
      <c r="Q18" s="507" t="s">
        <v>530</v>
      </c>
    </row>
    <row r="19" spans="2:17" ht="15.6" x14ac:dyDescent="0.3">
      <c r="B19" s="63" t="s">
        <v>512</v>
      </c>
      <c r="D19" s="86">
        <v>117402</v>
      </c>
      <c r="E19" s="13"/>
      <c r="F19" s="161" t="s">
        <v>535</v>
      </c>
      <c r="I19" s="457">
        <v>1</v>
      </c>
      <c r="J19" s="508" t="s">
        <v>137</v>
      </c>
      <c r="K19" s="154" t="s">
        <v>448</v>
      </c>
      <c r="M19" s="2" t="s">
        <v>471</v>
      </c>
      <c r="N19" s="509">
        <v>1</v>
      </c>
      <c r="O19" s="509"/>
      <c r="P19" s="2" t="str">
        <f>M19</f>
        <v>Aerospace and Defense</v>
      </c>
      <c r="Q19" s="510" t="s">
        <v>151</v>
      </c>
    </row>
    <row r="20" spans="2:17" ht="15.6" x14ac:dyDescent="0.3">
      <c r="B20" s="63" t="s">
        <v>433</v>
      </c>
      <c r="D20" s="86">
        <v>103121</v>
      </c>
      <c r="E20" s="13"/>
      <c r="F20" s="161" t="s">
        <v>535</v>
      </c>
      <c r="I20" s="457">
        <v>2</v>
      </c>
      <c r="J20" s="508" t="s">
        <v>138</v>
      </c>
      <c r="K20" s="154">
        <v>7</v>
      </c>
      <c r="M20" s="2" t="s">
        <v>433</v>
      </c>
      <c r="N20" s="154">
        <v>2</v>
      </c>
      <c r="O20" s="154">
        <v>16</v>
      </c>
      <c r="P20" s="2" t="s">
        <v>534</v>
      </c>
      <c r="Q20" s="510" t="s">
        <v>151</v>
      </c>
    </row>
    <row r="21" spans="2:17" ht="15.6" x14ac:dyDescent="0.3">
      <c r="B21" s="63" t="s">
        <v>434</v>
      </c>
      <c r="D21" s="86">
        <v>126409</v>
      </c>
      <c r="E21" s="13"/>
      <c r="F21" s="161" t="s">
        <v>535</v>
      </c>
      <c r="G21" s="56" t="s">
        <v>155</v>
      </c>
      <c r="I21" s="457">
        <v>3</v>
      </c>
      <c r="J21" s="508" t="s">
        <v>139</v>
      </c>
      <c r="K21" s="509"/>
      <c r="M21" s="2" t="s">
        <v>434</v>
      </c>
      <c r="N21" s="154">
        <v>3</v>
      </c>
      <c r="O21" s="154">
        <v>1</v>
      </c>
      <c r="P21" s="2" t="s">
        <v>513</v>
      </c>
      <c r="Q21" s="510" t="s">
        <v>527</v>
      </c>
    </row>
    <row r="22" spans="2:17" ht="15.6" x14ac:dyDescent="0.3">
      <c r="B22" s="63" t="s">
        <v>435</v>
      </c>
      <c r="D22" s="86">
        <v>123646</v>
      </c>
      <c r="E22" s="13"/>
      <c r="F22" s="161" t="s">
        <v>535</v>
      </c>
      <c r="G22" s="56" t="s">
        <v>156</v>
      </c>
      <c r="I22" s="457">
        <v>4</v>
      </c>
      <c r="J22" s="508" t="s">
        <v>3</v>
      </c>
      <c r="K22" s="154">
        <v>9</v>
      </c>
      <c r="M22" s="2" t="s">
        <v>435</v>
      </c>
      <c r="N22" s="509">
        <v>4</v>
      </c>
      <c r="O22" s="509"/>
      <c r="P22" s="2" t="s">
        <v>514</v>
      </c>
      <c r="Q22" s="510" t="s">
        <v>20</v>
      </c>
    </row>
    <row r="23" spans="2:17" ht="15.6" x14ac:dyDescent="0.3">
      <c r="B23" s="63" t="s">
        <v>436</v>
      </c>
      <c r="D23" s="86">
        <v>117145</v>
      </c>
      <c r="E23" s="13"/>
      <c r="F23" s="161" t="s">
        <v>535</v>
      </c>
      <c r="I23" s="457">
        <v>5</v>
      </c>
      <c r="J23" s="508" t="s">
        <v>140</v>
      </c>
      <c r="K23" s="154" t="s">
        <v>449</v>
      </c>
      <c r="M23" s="2" t="s">
        <v>436</v>
      </c>
      <c r="N23" s="154">
        <v>5</v>
      </c>
      <c r="O23" s="154">
        <v>8</v>
      </c>
      <c r="P23" s="2" t="s">
        <v>519</v>
      </c>
      <c r="Q23" s="510" t="s">
        <v>529</v>
      </c>
    </row>
    <row r="24" spans="2:17" ht="15.6" x14ac:dyDescent="0.3">
      <c r="B24" s="63" t="s">
        <v>437</v>
      </c>
      <c r="D24" s="86">
        <v>106402</v>
      </c>
      <c r="E24" s="13"/>
      <c r="F24" s="161" t="s">
        <v>535</v>
      </c>
      <c r="I24" s="457">
        <v>6</v>
      </c>
      <c r="J24" s="508" t="s">
        <v>141</v>
      </c>
      <c r="K24" s="154">
        <v>10</v>
      </c>
      <c r="M24" s="2" t="s">
        <v>437</v>
      </c>
      <c r="N24" s="154">
        <v>6</v>
      </c>
      <c r="O24" s="154" t="s">
        <v>454</v>
      </c>
      <c r="P24" s="2" t="s">
        <v>520</v>
      </c>
      <c r="Q24" s="510" t="s">
        <v>532</v>
      </c>
    </row>
    <row r="25" spans="2:17" ht="15.6" x14ac:dyDescent="0.3">
      <c r="B25" s="63" t="s">
        <v>138</v>
      </c>
      <c r="D25" s="86">
        <v>81492</v>
      </c>
      <c r="E25" s="13"/>
      <c r="F25" s="161" t="s">
        <v>535</v>
      </c>
      <c r="I25" s="457">
        <v>7</v>
      </c>
      <c r="J25" s="508" t="s">
        <v>142</v>
      </c>
      <c r="K25" s="154" t="s">
        <v>452</v>
      </c>
      <c r="M25" s="2" t="s">
        <v>138</v>
      </c>
      <c r="N25" s="154">
        <v>7</v>
      </c>
      <c r="O25" s="154">
        <v>2</v>
      </c>
      <c r="P25" s="2" t="s">
        <v>515</v>
      </c>
      <c r="Q25" s="510" t="s">
        <v>138</v>
      </c>
    </row>
    <row r="26" spans="2:17" ht="15.6" x14ac:dyDescent="0.3">
      <c r="B26" s="63" t="s">
        <v>438</v>
      </c>
      <c r="C26" s="64"/>
      <c r="D26" s="86">
        <v>126409</v>
      </c>
      <c r="E26" s="13"/>
      <c r="F26" s="161" t="s">
        <v>535</v>
      </c>
      <c r="G26" s="56" t="s">
        <v>157</v>
      </c>
      <c r="I26" s="457">
        <v>8</v>
      </c>
      <c r="J26" s="508" t="s">
        <v>143</v>
      </c>
      <c r="K26" s="154">
        <v>5</v>
      </c>
      <c r="M26" s="2" t="s">
        <v>438</v>
      </c>
      <c r="N26" s="154">
        <v>8</v>
      </c>
      <c r="O26" s="154">
        <v>1</v>
      </c>
      <c r="P26" s="2" t="s">
        <v>513</v>
      </c>
      <c r="Q26" s="510" t="s">
        <v>527</v>
      </c>
    </row>
    <row r="27" spans="2:17" ht="15.6" x14ac:dyDescent="0.3">
      <c r="B27" s="63" t="s">
        <v>439</v>
      </c>
      <c r="D27" s="86">
        <v>105305</v>
      </c>
      <c r="E27" s="13"/>
      <c r="F27" s="161" t="s">
        <v>535</v>
      </c>
      <c r="I27" s="457">
        <v>9</v>
      </c>
      <c r="J27" s="508" t="s">
        <v>144</v>
      </c>
      <c r="K27" s="154">
        <v>13</v>
      </c>
      <c r="M27" s="2" t="s">
        <v>439</v>
      </c>
      <c r="N27" s="154">
        <v>9</v>
      </c>
      <c r="O27" s="154">
        <v>4</v>
      </c>
      <c r="P27" s="2" t="s">
        <v>538</v>
      </c>
      <c r="Q27" s="510" t="s">
        <v>533</v>
      </c>
    </row>
    <row r="28" spans="2:17" ht="15.6" x14ac:dyDescent="0.3">
      <c r="B28" s="63" t="s">
        <v>440</v>
      </c>
      <c r="D28" s="86">
        <v>100339</v>
      </c>
      <c r="E28" s="13"/>
      <c r="F28" s="161" t="s">
        <v>535</v>
      </c>
      <c r="I28" s="457">
        <v>10</v>
      </c>
      <c r="J28" s="508" t="s">
        <v>145</v>
      </c>
      <c r="K28" s="154">
        <v>12</v>
      </c>
      <c r="M28" s="2" t="s">
        <v>440</v>
      </c>
      <c r="N28" s="154">
        <v>10</v>
      </c>
      <c r="O28" s="154">
        <v>6</v>
      </c>
      <c r="P28" s="2" t="s">
        <v>517</v>
      </c>
      <c r="Q28" s="510" t="s">
        <v>517</v>
      </c>
    </row>
    <row r="29" spans="2:17" ht="15.6" x14ac:dyDescent="0.3">
      <c r="B29" s="63" t="s">
        <v>441</v>
      </c>
      <c r="D29" s="86">
        <v>139887</v>
      </c>
      <c r="E29" s="13"/>
      <c r="F29" s="161" t="s">
        <v>535</v>
      </c>
      <c r="I29" s="457">
        <v>11</v>
      </c>
      <c r="J29" s="508" t="s">
        <v>146</v>
      </c>
      <c r="K29" s="154">
        <v>11</v>
      </c>
      <c r="M29" s="2" t="s">
        <v>441</v>
      </c>
      <c r="N29" s="154">
        <v>11</v>
      </c>
      <c r="O29" s="154">
        <v>11</v>
      </c>
      <c r="P29" s="2" t="s">
        <v>518</v>
      </c>
      <c r="Q29" s="510" t="s">
        <v>529</v>
      </c>
    </row>
    <row r="30" spans="2:17" ht="15.6" x14ac:dyDescent="0.3">
      <c r="B30" s="63" t="s">
        <v>442</v>
      </c>
      <c r="D30" s="86">
        <v>109381</v>
      </c>
      <c r="E30" s="13"/>
      <c r="F30" s="161" t="s">
        <v>535</v>
      </c>
      <c r="I30" s="457">
        <v>12</v>
      </c>
      <c r="J30" s="508" t="s">
        <v>147</v>
      </c>
      <c r="K30" s="154">
        <v>15</v>
      </c>
      <c r="M30" s="2" t="s">
        <v>442</v>
      </c>
      <c r="N30" s="154">
        <v>12</v>
      </c>
      <c r="O30" s="154">
        <v>10</v>
      </c>
      <c r="P30" s="2" t="s">
        <v>516</v>
      </c>
      <c r="Q30" s="510" t="s">
        <v>528</v>
      </c>
    </row>
    <row r="31" spans="2:17" ht="15.6" x14ac:dyDescent="0.3">
      <c r="B31" s="63" t="s">
        <v>144</v>
      </c>
      <c r="C31" s="64"/>
      <c r="D31" s="86">
        <v>122941</v>
      </c>
      <c r="E31" s="13"/>
      <c r="F31" s="161" t="s">
        <v>535</v>
      </c>
      <c r="I31" s="457">
        <v>13</v>
      </c>
      <c r="J31" s="508" t="s">
        <v>148</v>
      </c>
      <c r="K31" s="154">
        <v>16</v>
      </c>
      <c r="M31" s="2" t="s">
        <v>144</v>
      </c>
      <c r="N31" s="154">
        <v>13</v>
      </c>
      <c r="O31" s="154">
        <v>9</v>
      </c>
      <c r="P31" s="2" t="s">
        <v>521</v>
      </c>
      <c r="Q31" s="510" t="s">
        <v>527</v>
      </c>
    </row>
    <row r="32" spans="2:17" ht="15.6" x14ac:dyDescent="0.3">
      <c r="B32" s="63" t="s">
        <v>443</v>
      </c>
      <c r="D32" s="86">
        <v>94022</v>
      </c>
      <c r="E32" s="13"/>
      <c r="F32" s="161" t="s">
        <v>535</v>
      </c>
      <c r="I32" s="457">
        <v>14</v>
      </c>
      <c r="J32" s="508" t="s">
        <v>149</v>
      </c>
      <c r="K32" s="509"/>
      <c r="M32" s="2" t="s">
        <v>443</v>
      </c>
      <c r="N32" s="509">
        <v>14</v>
      </c>
      <c r="O32" s="509"/>
      <c r="P32" s="2" t="s">
        <v>522</v>
      </c>
      <c r="Q32" s="510" t="s">
        <v>443</v>
      </c>
    </row>
    <row r="33" spans="2:17" ht="15.6" x14ac:dyDescent="0.3">
      <c r="B33" s="63" t="s">
        <v>444</v>
      </c>
      <c r="D33" s="86">
        <v>119563</v>
      </c>
      <c r="E33" s="13"/>
      <c r="F33" s="161" t="s">
        <v>535</v>
      </c>
      <c r="I33" s="457">
        <v>15</v>
      </c>
      <c r="J33" s="508" t="s">
        <v>150</v>
      </c>
      <c r="K33" s="154">
        <v>17</v>
      </c>
      <c r="M33" s="2" t="s">
        <v>444</v>
      </c>
      <c r="N33" s="154">
        <v>15</v>
      </c>
      <c r="O33" s="154">
        <v>12</v>
      </c>
      <c r="P33" s="2" t="s">
        <v>523</v>
      </c>
      <c r="Q33" s="510" t="s">
        <v>444</v>
      </c>
    </row>
    <row r="34" spans="2:17" ht="15.6" x14ac:dyDescent="0.3">
      <c r="B34" s="63" t="s">
        <v>445</v>
      </c>
      <c r="D34" s="86">
        <v>108652</v>
      </c>
      <c r="E34" s="13"/>
      <c r="F34" s="161" t="s">
        <v>535</v>
      </c>
      <c r="I34" s="457">
        <v>16</v>
      </c>
      <c r="J34" s="508" t="s">
        <v>151</v>
      </c>
      <c r="K34" s="154" t="s">
        <v>450</v>
      </c>
      <c r="M34" s="2" t="s">
        <v>445</v>
      </c>
      <c r="N34" s="154">
        <v>16</v>
      </c>
      <c r="O34" s="154">
        <v>13</v>
      </c>
      <c r="P34" s="2" t="s">
        <v>445</v>
      </c>
      <c r="Q34" s="510" t="s">
        <v>445</v>
      </c>
    </row>
    <row r="35" spans="2:17" ht="15.6" x14ac:dyDescent="0.3">
      <c r="B35" s="63" t="s">
        <v>446</v>
      </c>
      <c r="D35" s="86">
        <v>99841</v>
      </c>
      <c r="E35" s="13"/>
      <c r="F35" s="161" t="s">
        <v>535</v>
      </c>
      <c r="I35" s="457">
        <v>17</v>
      </c>
      <c r="J35" s="508" t="s">
        <v>152</v>
      </c>
      <c r="K35" s="509"/>
      <c r="M35" s="2" t="s">
        <v>446</v>
      </c>
      <c r="N35" s="154">
        <v>17</v>
      </c>
      <c r="O35" s="154">
        <v>15</v>
      </c>
      <c r="P35" s="2" t="s">
        <v>150</v>
      </c>
      <c r="Q35" s="510" t="s">
        <v>531</v>
      </c>
    </row>
    <row r="36" spans="2:17" ht="15.6" x14ac:dyDescent="0.3">
      <c r="B36" s="63" t="s">
        <v>151</v>
      </c>
      <c r="D36" s="86">
        <v>107850</v>
      </c>
      <c r="E36" s="13"/>
      <c r="F36" s="161" t="s">
        <v>535</v>
      </c>
      <c r="I36" s="457">
        <v>18</v>
      </c>
      <c r="J36" s="508" t="s">
        <v>153</v>
      </c>
      <c r="K36" s="154">
        <v>19</v>
      </c>
      <c r="M36" s="2" t="s">
        <v>151</v>
      </c>
      <c r="N36" s="154">
        <v>18</v>
      </c>
      <c r="O36" s="154">
        <v>16</v>
      </c>
      <c r="P36" s="2" t="s">
        <v>524</v>
      </c>
      <c r="Q36" s="510" t="s">
        <v>151</v>
      </c>
    </row>
    <row r="37" spans="2:17" ht="16.2" thickBot="1" x14ac:dyDescent="0.35">
      <c r="B37" s="63" t="s">
        <v>451</v>
      </c>
      <c r="D37" s="86">
        <v>113211</v>
      </c>
      <c r="E37" s="13"/>
      <c r="F37" s="161" t="s">
        <v>535</v>
      </c>
      <c r="I37" s="458"/>
      <c r="J37" s="454"/>
      <c r="K37" s="455"/>
      <c r="L37" s="454"/>
      <c r="M37" s="454" t="s">
        <v>451</v>
      </c>
      <c r="N37" s="455">
        <v>19</v>
      </c>
      <c r="O37" s="455">
        <v>18</v>
      </c>
      <c r="P37" s="454" t="s">
        <v>525</v>
      </c>
      <c r="Q37" s="511" t="s">
        <v>525</v>
      </c>
    </row>
    <row r="38" spans="2:17" ht="15.6" x14ac:dyDescent="0.3">
      <c r="C38" s="57" t="s">
        <v>154</v>
      </c>
      <c r="D38" s="86">
        <f ca="1">OFFSET(D18,MATCH('Initial Screens'!C8,Benchmarks!B19:B37,0),0)</f>
        <v>126409</v>
      </c>
      <c r="E38" s="13"/>
      <c r="F38" s="161" t="s">
        <v>535</v>
      </c>
    </row>
    <row r="39" spans="2:17" x14ac:dyDescent="0.3">
      <c r="D39" s="2"/>
      <c r="E39" s="13"/>
    </row>
    <row r="40" spans="2:17" ht="15.6" x14ac:dyDescent="0.3">
      <c r="B40" s="81" t="s">
        <v>158</v>
      </c>
      <c r="D40" s="83"/>
      <c r="E40" s="13"/>
      <c r="F40" s="65" t="s">
        <v>165</v>
      </c>
    </row>
    <row r="41" spans="2:17" ht="15.6" x14ac:dyDescent="0.3">
      <c r="B41" s="63" t="s">
        <v>455</v>
      </c>
      <c r="D41" s="85">
        <v>0.45</v>
      </c>
      <c r="E41" s="13"/>
      <c r="F41" s="161" t="s">
        <v>539</v>
      </c>
    </row>
    <row r="42" spans="2:17" ht="15.6" x14ac:dyDescent="0.3">
      <c r="B42" s="63" t="s">
        <v>133</v>
      </c>
      <c r="D42" s="85">
        <v>0.25</v>
      </c>
      <c r="E42" s="13"/>
      <c r="F42" s="161" t="s">
        <v>159</v>
      </c>
    </row>
    <row r="43" spans="2:17" ht="15.6" x14ac:dyDescent="0.3">
      <c r="B43" s="63" t="s">
        <v>135</v>
      </c>
      <c r="D43" s="85">
        <v>0.35</v>
      </c>
      <c r="E43" s="13"/>
      <c r="F43" s="161" t="s">
        <v>159</v>
      </c>
    </row>
    <row r="44" spans="2:17" ht="15.6" x14ac:dyDescent="0.3">
      <c r="B44" s="63" t="s">
        <v>134</v>
      </c>
      <c r="D44" s="85">
        <v>0.2</v>
      </c>
      <c r="E44" s="13"/>
      <c r="F44" s="161" t="s">
        <v>159</v>
      </c>
    </row>
    <row r="45" spans="2:17" ht="15.6" x14ac:dyDescent="0.3">
      <c r="C45" s="353" t="s">
        <v>154</v>
      </c>
      <c r="D45" s="85">
        <f ca="1">OFFSET(D40,MATCH('Initial Screens'!C9,Benchmarks!B41:B44,0),0)</f>
        <v>0.45</v>
      </c>
      <c r="E45" s="13"/>
      <c r="F45" s="352"/>
    </row>
    <row r="46" spans="2:17" x14ac:dyDescent="0.3">
      <c r="D46" s="2"/>
      <c r="E46" s="13"/>
    </row>
    <row r="47" spans="2:17" x14ac:dyDescent="0.3">
      <c r="B47" s="80" t="s">
        <v>457</v>
      </c>
      <c r="D47" s="83"/>
      <c r="E47" s="13"/>
      <c r="G47" s="113" t="s">
        <v>160</v>
      </c>
    </row>
    <row r="48" spans="2:17" ht="15.6" x14ac:dyDescent="0.3">
      <c r="B48" s="63" t="s">
        <v>238</v>
      </c>
      <c r="D48" s="85">
        <f>108109/D37</f>
        <v>0.95493370785524379</v>
      </c>
      <c r="E48" s="13"/>
      <c r="F48" s="161" t="s">
        <v>535</v>
      </c>
      <c r="G48" s="165" t="s">
        <v>161</v>
      </c>
    </row>
    <row r="49" spans="2:7" x14ac:dyDescent="0.3">
      <c r="D49" s="2"/>
      <c r="E49" s="13"/>
    </row>
    <row r="50" spans="2:7" x14ac:dyDescent="0.3">
      <c r="B50" s="80" t="s">
        <v>162</v>
      </c>
      <c r="D50" s="83"/>
      <c r="E50" s="13"/>
    </row>
    <row r="51" spans="2:7" ht="15.6" x14ac:dyDescent="0.3">
      <c r="B51" s="63" t="s">
        <v>238</v>
      </c>
      <c r="D51" s="85">
        <f>59850/70876</f>
        <v>0.84443253005248609</v>
      </c>
      <c r="E51" s="13"/>
      <c r="F51" s="161" t="s">
        <v>535</v>
      </c>
      <c r="G51" s="165" t="s">
        <v>161</v>
      </c>
    </row>
    <row r="52" spans="2:7" x14ac:dyDescent="0.3">
      <c r="D52" s="2"/>
      <c r="E52" s="13"/>
    </row>
    <row r="53" spans="2:7" x14ac:dyDescent="0.3">
      <c r="B53" s="80" t="s">
        <v>163</v>
      </c>
      <c r="D53" s="83"/>
      <c r="E53" s="13"/>
    </row>
    <row r="54" spans="2:7" ht="15.6" x14ac:dyDescent="0.3">
      <c r="B54" s="63" t="s">
        <v>238</v>
      </c>
      <c r="D54" s="85">
        <f>48879/57724</f>
        <v>0.84677084055159035</v>
      </c>
      <c r="E54" s="13"/>
      <c r="F54" s="161" t="s">
        <v>535</v>
      </c>
      <c r="G54" s="165" t="s">
        <v>161</v>
      </c>
    </row>
    <row r="55" spans="2:7" x14ac:dyDescent="0.3">
      <c r="D55" s="2"/>
      <c r="E55" s="13"/>
    </row>
    <row r="56" spans="2:7" x14ac:dyDescent="0.3">
      <c r="B56" s="80" t="s">
        <v>164</v>
      </c>
      <c r="D56" s="83"/>
      <c r="E56" s="13"/>
    </row>
    <row r="57" spans="2:7" ht="15.6" x14ac:dyDescent="0.3">
      <c r="B57" s="63" t="s">
        <v>238</v>
      </c>
      <c r="D57" s="85">
        <f>44707/63477</f>
        <v>0.70430234573152484</v>
      </c>
      <c r="E57" s="13"/>
      <c r="F57" s="161" t="s">
        <v>535</v>
      </c>
      <c r="G57" s="165" t="s">
        <v>161</v>
      </c>
    </row>
    <row r="58" spans="2:7" x14ac:dyDescent="0.3">
      <c r="D58" s="2"/>
      <c r="E58" s="13"/>
    </row>
    <row r="59" spans="2:7" x14ac:dyDescent="0.3">
      <c r="B59" s="80" t="s">
        <v>458</v>
      </c>
      <c r="D59" s="83"/>
      <c r="E59" s="13"/>
    </row>
    <row r="60" spans="2:7" ht="15.6" x14ac:dyDescent="0.3">
      <c r="B60" s="63" t="s">
        <v>133</v>
      </c>
      <c r="C60" s="66"/>
      <c r="D60" s="85">
        <f>70876/D37</f>
        <v>0.62605223874005178</v>
      </c>
      <c r="E60" s="13"/>
      <c r="F60" s="161" t="s">
        <v>535</v>
      </c>
    </row>
    <row r="61" spans="2:7" ht="15.6" x14ac:dyDescent="0.3">
      <c r="B61" s="63" t="s">
        <v>135</v>
      </c>
      <c r="C61" s="66"/>
      <c r="D61" s="85">
        <f>57724/D37</f>
        <v>0.5098797819999823</v>
      </c>
      <c r="E61" s="13"/>
      <c r="F61" s="161" t="s">
        <v>535</v>
      </c>
    </row>
    <row r="62" spans="2:7" ht="15.6" x14ac:dyDescent="0.3">
      <c r="B62" s="63" t="s">
        <v>134</v>
      </c>
      <c r="C62" s="66"/>
      <c r="D62" s="85">
        <f>63477/D37</f>
        <v>0.56069639875983779</v>
      </c>
      <c r="E62" s="13"/>
      <c r="F62" s="161" t="s">
        <v>535</v>
      </c>
    </row>
    <row r="63" spans="2:7" x14ac:dyDescent="0.3">
      <c r="D63" s="2"/>
      <c r="E63" s="13"/>
    </row>
    <row r="64" spans="2:7" ht="15.6" x14ac:dyDescent="0.3">
      <c r="B64" s="58" t="s">
        <v>362</v>
      </c>
      <c r="D64" s="83" t="s">
        <v>363</v>
      </c>
      <c r="E64" s="13"/>
    </row>
    <row r="65" spans="2:7" ht="15.6" x14ac:dyDescent="0.3">
      <c r="B65" s="63" t="s">
        <v>512</v>
      </c>
      <c r="D65" s="86">
        <v>4430000</v>
      </c>
      <c r="E65" s="13"/>
      <c r="F65" s="161" t="s">
        <v>536</v>
      </c>
      <c r="G65" s="2" t="s">
        <v>151</v>
      </c>
    </row>
    <row r="66" spans="2:7" ht="15.6" x14ac:dyDescent="0.3">
      <c r="B66" s="63" t="s">
        <v>433</v>
      </c>
      <c r="D66" s="86">
        <v>4430000</v>
      </c>
      <c r="E66" s="13"/>
      <c r="F66" s="161" t="s">
        <v>536</v>
      </c>
      <c r="G66" s="2" t="s">
        <v>151</v>
      </c>
    </row>
    <row r="67" spans="2:7" ht="15.6" x14ac:dyDescent="0.3">
      <c r="B67" s="63" t="s">
        <v>434</v>
      </c>
      <c r="D67" s="86">
        <v>6080000</v>
      </c>
      <c r="E67" s="13"/>
      <c r="F67" s="161" t="s">
        <v>536</v>
      </c>
      <c r="G67" s="2" t="s">
        <v>527</v>
      </c>
    </row>
    <row r="68" spans="2:7" ht="15.6" x14ac:dyDescent="0.3">
      <c r="B68" s="63" t="s">
        <v>435</v>
      </c>
      <c r="D68" s="86">
        <v>5080000</v>
      </c>
      <c r="E68" s="13"/>
      <c r="F68" s="161" t="s">
        <v>536</v>
      </c>
      <c r="G68" s="2" t="s">
        <v>20</v>
      </c>
    </row>
    <row r="69" spans="2:7" ht="15.6" x14ac:dyDescent="0.3">
      <c r="B69" s="63" t="s">
        <v>436</v>
      </c>
      <c r="D69" s="86">
        <v>5450000</v>
      </c>
      <c r="E69" s="13"/>
      <c r="F69" s="161" t="s">
        <v>536</v>
      </c>
      <c r="G69" s="2" t="s">
        <v>529</v>
      </c>
    </row>
    <row r="70" spans="2:7" ht="15.6" x14ac:dyDescent="0.3">
      <c r="B70" s="63" t="s">
        <v>437</v>
      </c>
      <c r="D70" s="86">
        <v>3820000</v>
      </c>
      <c r="E70" s="13"/>
      <c r="F70" s="161" t="s">
        <v>536</v>
      </c>
      <c r="G70" s="2" t="s">
        <v>532</v>
      </c>
    </row>
    <row r="71" spans="2:7" ht="15.6" x14ac:dyDescent="0.3">
      <c r="B71" s="63" t="s">
        <v>138</v>
      </c>
      <c r="D71" s="86">
        <v>3500000</v>
      </c>
      <c r="E71" s="13"/>
      <c r="F71" s="161" t="s">
        <v>536</v>
      </c>
      <c r="G71" s="2" t="s">
        <v>138</v>
      </c>
    </row>
    <row r="72" spans="2:7" ht="15.6" x14ac:dyDescent="0.3">
      <c r="B72" s="63" t="s">
        <v>438</v>
      </c>
      <c r="D72" s="86">
        <v>6080000</v>
      </c>
      <c r="E72" s="13"/>
      <c r="F72" s="161" t="s">
        <v>536</v>
      </c>
      <c r="G72" s="2" t="s">
        <v>527</v>
      </c>
    </row>
    <row r="73" spans="2:7" ht="15.6" x14ac:dyDescent="0.3">
      <c r="B73" s="63" t="s">
        <v>439</v>
      </c>
      <c r="D73" s="86">
        <v>2550000</v>
      </c>
      <c r="E73" s="13"/>
      <c r="F73" s="161" t="s">
        <v>536</v>
      </c>
      <c r="G73" s="2" t="s">
        <v>533</v>
      </c>
    </row>
    <row r="74" spans="2:7" ht="15.6" x14ac:dyDescent="0.3">
      <c r="B74" s="63" t="s">
        <v>440</v>
      </c>
      <c r="D74" s="86">
        <v>9770000</v>
      </c>
      <c r="E74" s="13"/>
      <c r="F74" s="161" t="s">
        <v>536</v>
      </c>
      <c r="G74" s="2" t="s">
        <v>517</v>
      </c>
    </row>
    <row r="75" spans="2:7" ht="15.6" x14ac:dyDescent="0.3">
      <c r="B75" s="63" t="s">
        <v>441</v>
      </c>
      <c r="D75" s="86">
        <v>5450000</v>
      </c>
      <c r="E75" s="13"/>
      <c r="F75" s="161" t="s">
        <v>536</v>
      </c>
      <c r="G75" s="2" t="s">
        <v>529</v>
      </c>
    </row>
    <row r="76" spans="2:7" ht="15.6" x14ac:dyDescent="0.3">
      <c r="B76" s="63" t="s">
        <v>442</v>
      </c>
      <c r="D76" s="86">
        <v>5560000</v>
      </c>
      <c r="E76" s="13"/>
      <c r="F76" s="161" t="s">
        <v>536</v>
      </c>
      <c r="G76" s="2" t="s">
        <v>528</v>
      </c>
    </row>
    <row r="77" spans="2:7" ht="15.6" x14ac:dyDescent="0.3">
      <c r="B77" s="63" t="s">
        <v>144</v>
      </c>
      <c r="D77" s="86">
        <v>6080000</v>
      </c>
      <c r="E77" s="13"/>
      <c r="F77" s="161" t="s">
        <v>536</v>
      </c>
      <c r="G77" s="2" t="s">
        <v>527</v>
      </c>
    </row>
    <row r="78" spans="2:7" ht="15.6" x14ac:dyDescent="0.3">
      <c r="B78" s="63" t="s">
        <v>443</v>
      </c>
      <c r="D78" s="86">
        <v>3940000</v>
      </c>
      <c r="E78" s="13"/>
      <c r="F78" s="161" t="s">
        <v>536</v>
      </c>
      <c r="G78" s="2" t="s">
        <v>443</v>
      </c>
    </row>
    <row r="79" spans="2:7" ht="15.6" x14ac:dyDescent="0.3">
      <c r="B79" s="63" t="s">
        <v>444</v>
      </c>
      <c r="D79" s="86">
        <v>5100000</v>
      </c>
      <c r="E79" s="13"/>
      <c r="F79" s="161" t="s">
        <v>536</v>
      </c>
      <c r="G79" s="2" t="s">
        <v>444</v>
      </c>
    </row>
    <row r="80" spans="2:7" ht="15.6" x14ac:dyDescent="0.3">
      <c r="B80" s="63" t="s">
        <v>445</v>
      </c>
      <c r="D80" s="86">
        <v>3480000</v>
      </c>
      <c r="E80" s="13"/>
      <c r="F80" s="161" t="s">
        <v>536</v>
      </c>
      <c r="G80" s="2" t="s">
        <v>445</v>
      </c>
    </row>
    <row r="81" spans="2:7" ht="15.6" x14ac:dyDescent="0.3">
      <c r="B81" s="63" t="s">
        <v>446</v>
      </c>
      <c r="D81" s="86">
        <v>4090000</v>
      </c>
      <c r="E81" s="13"/>
      <c r="F81" s="161" t="s">
        <v>536</v>
      </c>
      <c r="G81" s="2" t="s">
        <v>531</v>
      </c>
    </row>
    <row r="82" spans="2:7" ht="15.6" x14ac:dyDescent="0.3">
      <c r="B82" s="63" t="s">
        <v>151</v>
      </c>
      <c r="D82" s="86">
        <v>4430000</v>
      </c>
      <c r="E82" s="13"/>
      <c r="F82" s="161" t="s">
        <v>536</v>
      </c>
      <c r="G82" s="2" t="s">
        <v>151</v>
      </c>
    </row>
    <row r="83" spans="2:7" ht="15.6" x14ac:dyDescent="0.3">
      <c r="B83" s="63" t="s">
        <v>451</v>
      </c>
      <c r="D83" s="86">
        <v>4880000</v>
      </c>
      <c r="E83" s="13"/>
      <c r="F83" s="161" t="s">
        <v>536</v>
      </c>
      <c r="G83" s="355" t="s">
        <v>525</v>
      </c>
    </row>
    <row r="84" spans="2:7" ht="15.6" x14ac:dyDescent="0.3">
      <c r="C84" s="57" t="s">
        <v>154</v>
      </c>
      <c r="D84" s="86">
        <f ca="1">OFFSET(D64,MATCH('Initial Screens'!C8,B65:B83,0),0)</f>
        <v>6080000</v>
      </c>
      <c r="E84" s="13"/>
      <c r="F84" s="161" t="s">
        <v>536</v>
      </c>
    </row>
    <row r="86" spans="2:7" x14ac:dyDescent="0.3">
      <c r="B86" s="80" t="s">
        <v>364</v>
      </c>
      <c r="E86" s="13"/>
    </row>
    <row r="87" spans="2:7" ht="15.6" x14ac:dyDescent="0.3">
      <c r="B87" s="63" t="s">
        <v>365</v>
      </c>
      <c r="D87" s="85">
        <f>9360000/D83</f>
        <v>1.9180327868852458</v>
      </c>
      <c r="E87" s="13"/>
      <c r="F87" s="161" t="s">
        <v>536</v>
      </c>
    </row>
    <row r="88" spans="2:7" ht="15.6" x14ac:dyDescent="0.3">
      <c r="B88" s="63" t="s">
        <v>366</v>
      </c>
      <c r="D88" s="85">
        <f>AVERAGE(4.53,5.31,4.17,8.75)*1000000/D83</f>
        <v>1.1659836065573768</v>
      </c>
      <c r="E88" s="13"/>
      <c r="F88" s="161" t="s">
        <v>536</v>
      </c>
    </row>
    <row r="89" spans="2:7" ht="15.6" x14ac:dyDescent="0.3">
      <c r="B89" s="63" t="s">
        <v>135</v>
      </c>
      <c r="D89" s="85">
        <f>4160000/D83</f>
        <v>0.85245901639344257</v>
      </c>
      <c r="E89" s="13"/>
      <c r="F89" s="161" t="s">
        <v>536</v>
      </c>
    </row>
    <row r="90" spans="2:7" ht="15.6" x14ac:dyDescent="0.3">
      <c r="B90" s="63" t="s">
        <v>367</v>
      </c>
      <c r="D90" s="85">
        <f>AVERAGE(4.19,2.35,3.23,2.78)*1000000/D83</f>
        <v>0.64293032786885251</v>
      </c>
      <c r="E90" s="13"/>
      <c r="F90" s="161" t="s">
        <v>536</v>
      </c>
    </row>
    <row r="91" spans="2:7" ht="15.6" x14ac:dyDescent="0.3">
      <c r="B91" s="63"/>
      <c r="C91" s="57" t="s">
        <v>368</v>
      </c>
      <c r="D91" s="86">
        <f ca="1">ROUND(IF('Initial Screens'!C9="AMER",D87,IF('Initial Screens'!C9="EMEA",D88,IF('Initial Screens'!C9="LATAM",D89,D90)))*D84,-4)</f>
        <v>11660000</v>
      </c>
      <c r="E91" s="13"/>
      <c r="F91" s="161" t="s">
        <v>536</v>
      </c>
    </row>
  </sheetData>
  <phoneticPr fontId="35" type="noConversion"/>
  <hyperlinks>
    <hyperlink ref="F41" r:id="rId1" display="www.bls.gov" xr:uid="{1E3BD752-DDF1-48A6-95EA-7D292E96DC7B}"/>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675674B8C2DD4C80ACEB41D0CBAA8E" ma:contentTypeVersion="27" ma:contentTypeDescription="Create a new document." ma:contentTypeScope="" ma:versionID="d0a3d3cbbd6bc40d54a1ea4fed59d1dc">
  <xsd:schema xmlns:xsd="http://www.w3.org/2001/XMLSchema" xmlns:xs="http://www.w3.org/2001/XMLSchema" xmlns:p="http://schemas.microsoft.com/office/2006/metadata/properties" xmlns:ns2="962ad5cf-90bd-417a-8385-742eb7842c83" xmlns:ns3="7dd50b10-0954-4f3c-8054-904bd5ba7d29" xmlns:ns4="eb3a237d-4129-4a2a-8fb3-b20be8ca4bd3" targetNamespace="http://schemas.microsoft.com/office/2006/metadata/properties" ma:root="true" ma:fieldsID="5f3d9110f1c23e2f0cc49fada3e89233" ns2:_="" ns3:_="" ns4:_="">
    <xsd:import namespace="962ad5cf-90bd-417a-8385-742eb7842c83"/>
    <xsd:import namespace="7dd50b10-0954-4f3c-8054-904bd5ba7d29"/>
    <xsd:import namespace="eb3a237d-4129-4a2a-8fb3-b20be8ca4bd3"/>
    <xsd:element name="properties">
      <xsd:complexType>
        <xsd:sequence>
          <xsd:element name="documentManagement">
            <xsd:complexType>
              <xsd:all>
                <xsd:element ref="ns2:_Flow_SignoffStatus" minOccurs="0"/>
                <xsd:element ref="ns2:INDUSTRY"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4:TaxCatchAll" minOccurs="0"/>
                <xsd:element ref="ns2:Vertica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2ad5cf-90bd-417a-8385-742eb7842c83"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INDUSTRY" ma:index="4" nillable="true" ma:displayName="INDUSTRY" ma:format="Dropdown" ma:hidden="true" ma:internalName="INDUSTRY"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hidden="true" ma:internalName="MediaServiceKeyPoints" ma:readOnly="true">
      <xsd:simpleType>
        <xsd:restriction base="dms:Note"/>
      </xsd:simpleType>
    </xsd:element>
    <xsd:element name="MediaServiceAutoTags" ma:index="14" nillable="true" ma:displayName="Tags" ma:hidden="true" ma:internalName="MediaServiceAutoTags"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Vertical" ma:index="25" nillable="true" ma:displayName="Vertical" ma:format="Dropdown" ma:hidden="true" ma:internalName="Vertical">
      <xsd:complexType>
        <xsd:complexContent>
          <xsd:extension base="dms:MultiChoiceFillIn">
            <xsd:sequence>
              <xsd:element name="Value" maxOccurs="unbounded" minOccurs="0" nillable="true">
                <xsd:simpleType>
                  <xsd:union memberTypes="dms:Text">
                    <xsd:simpleType>
                      <xsd:restriction base="dms:Choice">
                        <xsd:enumeration value="Retail"/>
                        <xsd:enumeration value="Healthcare"/>
                        <xsd:enumeration value="Energy"/>
                        <xsd:enumeration value="Utilities"/>
                        <xsd:enumeration value="IT Services"/>
                        <xsd:enumeration value="Telecom"/>
                        <xsd:enumeration value="Software"/>
                        <xsd:enumeration value="Manufacturing"/>
                        <xsd:enumeration value="Automobile"/>
                        <xsd:enumeration value="Transport"/>
                        <xsd:enumeration value="Education"/>
                        <xsd:enumeration value="Pharmaceutical"/>
                        <xsd:enumeration value="Chemicals"/>
                        <xsd:enumeration value="Gaming"/>
                        <xsd:enumeration value="Hospitality &amp; Travel"/>
                        <xsd:enumeration value="Fintech"/>
                        <xsd:enumeration value="Insurance"/>
                        <xsd:enumeration value="Logistics"/>
                        <xsd:enumeration value="Media &amp; Entertainment"/>
                        <xsd:enumeration value="Semiconductor"/>
                        <xsd:enumeration value="E-commerce"/>
                        <xsd:enumeration value="Banking"/>
                        <xsd:enumeration value="FinServ"/>
                        <xsd:enumeration value="BFSI"/>
                        <xsd:enumeration value="Other"/>
                      </xsd:restriction>
                    </xsd:simpleType>
                  </xsd:union>
                </xsd:simple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d50b10-0954-4f3c-8054-904bd5ba7d29"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9ed07737-4c1b-4ac7-bb1c-f1c5fa250f16}" ma:internalName="TaxCatchAll" ma:readOnly="false" ma:showField="CatchAllData" ma:web="7dd50b10-0954-4f3c-8054-904bd5ba7d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62ad5cf-90bd-417a-8385-742eb7842c83" xsi:nil="true"/>
    <SharedWithUsers xmlns="7dd50b10-0954-4f3c-8054-904bd5ba7d29">
      <UserInfo>
        <DisplayName>Drew Wright</DisplayName>
        <AccountId>67</AccountId>
        <AccountType/>
      </UserInfo>
      <UserInfo>
        <DisplayName>Anishkumar Sukumaran (c)</DisplayName>
        <AccountId>2580</AccountId>
        <AccountType/>
      </UserInfo>
    </SharedWithUsers>
    <TaxCatchAll xmlns="eb3a237d-4129-4a2a-8fb3-b20be8ca4bd3" xsi:nil="true"/>
    <lcf76f155ced4ddcb4097134ff3c332f xmlns="962ad5cf-90bd-417a-8385-742eb7842c83">
      <Terms xmlns="http://schemas.microsoft.com/office/infopath/2007/PartnerControls"/>
    </lcf76f155ced4ddcb4097134ff3c332f>
    <Vertical xmlns="962ad5cf-90bd-417a-8385-742eb7842c83" xsi:nil="true"/>
    <INDUSTRY xmlns="962ad5cf-90bd-417a-8385-742eb7842c83" xsi:nil="true"/>
  </documentManagement>
</p:properties>
</file>

<file path=customXml/itemProps1.xml><?xml version="1.0" encoding="utf-8"?>
<ds:datastoreItem xmlns:ds="http://schemas.openxmlformats.org/officeDocument/2006/customXml" ds:itemID="{A3C9B33E-366C-49A8-8E94-34F55C8E80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2ad5cf-90bd-417a-8385-742eb7842c83"/>
    <ds:schemaRef ds:uri="7dd50b10-0954-4f3c-8054-904bd5ba7d29"/>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34EA19-6E24-4231-9B86-46CD80B0E00B}">
  <ds:schemaRefs>
    <ds:schemaRef ds:uri="http://schemas.microsoft.com/sharepoint/v3/contenttype/forms"/>
  </ds:schemaRefs>
</ds:datastoreItem>
</file>

<file path=customXml/itemProps3.xml><?xml version="1.0" encoding="utf-8"?>
<ds:datastoreItem xmlns:ds="http://schemas.openxmlformats.org/officeDocument/2006/customXml" ds:itemID="{7FD27600-F893-4ECB-94CB-79323FC08006}">
  <ds:schemaRefs>
    <ds:schemaRef ds:uri="http://schemas.microsoft.com/office/2006/metadata/properties"/>
    <ds:schemaRef ds:uri="http://schemas.microsoft.com/office/infopath/2007/PartnerControls"/>
    <ds:schemaRef ds:uri="962ad5cf-90bd-417a-8385-742eb7842c83"/>
    <ds:schemaRef ds:uri="7dd50b10-0954-4f3c-8054-904bd5ba7d29"/>
    <ds:schemaRef ds:uri="eb3a237d-4129-4a2a-8fb3-b20be8ca4b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Initial Screens</vt:lpstr>
      <vt:lpstr>Notes</vt:lpstr>
      <vt:lpstr>Excel Output</vt:lpstr>
      <vt:lpstr>Compute</vt:lpstr>
      <vt:lpstr>Storage</vt:lpstr>
      <vt:lpstr>Network</vt:lpstr>
      <vt:lpstr>Software</vt:lpstr>
      <vt:lpstr>Facilities</vt:lpstr>
      <vt:lpstr>Labor</vt:lpstr>
      <vt:lpstr>Support</vt:lpstr>
      <vt:lpstr>Migration - Reskilling</vt:lpstr>
      <vt:lpstr>InvestmentBVA</vt:lpstr>
      <vt:lpstr>Misc</vt:lpstr>
      <vt:lpstr>Business impact</vt:lpstr>
      <vt:lpstr>ROI Results</vt:lpstr>
      <vt:lpstr>Sustainability</vt:lpstr>
      <vt:lpstr>Transition</vt:lpstr>
      <vt:lpstr>Benchmarks</vt:lpstr>
      <vt:lpstr>AnalysisTerm</vt:lpstr>
      <vt:lpstr>Growth</vt:lpstr>
      <vt:lpstr>Hardware_Refreshcylce</vt:lpstr>
      <vt:lpstr>Hosts</vt:lpstr>
      <vt:lpstr>Inflation</vt:lpstr>
      <vt:lpstr>VMs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wdrew@vmware.com</dc:creator>
  <cp:keywords/>
  <dc:description/>
  <cp:lastModifiedBy>Vaishnavi M</cp:lastModifiedBy>
  <cp:revision/>
  <dcterms:created xsi:type="dcterms:W3CDTF">2021-05-07T10:32:47Z</dcterms:created>
  <dcterms:modified xsi:type="dcterms:W3CDTF">2025-11-21T13:40:16Z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0x010100F8675674B8C2DD4C80ACEB41D0CBAA8E</vt:lpwstr>
  </property>
  <property fmtid="{D5CDD505-2E9C-101B-9397-08002B2CF9AE}" pid="3" name="MediaServiceImageTags">
    <vt:lpwstr/>
  </property>
</Properties>
</file>